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rigorii\Downloads\"/>
    </mc:Choice>
  </mc:AlternateContent>
  <xr:revisionPtr revIDLastSave="0" documentId="13_ncr:1_{72E74B2B-0B4B-4265-A2BF-039FC32439CF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Фреш контроль" sheetId="2" state="hidden" r:id="rId1"/>
    <sheet name="Тех Карты Заготовки Бар" sheetId="10" r:id="rId2"/>
    <sheet name="График Апрель" sheetId="18" state="hidden" r:id="rId3"/>
  </sheets>
  <calcPr calcId="191029"/>
</workbook>
</file>

<file path=xl/calcChain.xml><?xml version="1.0" encoding="utf-8"?>
<calcChain xmlns="http://schemas.openxmlformats.org/spreadsheetml/2006/main">
  <c r="AF12" i="18" l="1"/>
  <c r="AH10" i="18"/>
  <c r="AF10" i="18"/>
  <c r="AF8" i="18"/>
  <c r="AH8" i="18" s="1"/>
  <c r="AH6" i="18"/>
  <c r="AF6" i="18"/>
  <c r="AF4" i="18"/>
  <c r="AI8" i="18" s="1"/>
  <c r="F9" i="2"/>
  <c r="F8" i="2"/>
  <c r="F7" i="2"/>
  <c r="F6" i="2"/>
  <c r="N5" i="2"/>
  <c r="F5" i="2"/>
  <c r="G4" i="2" s="1"/>
  <c r="N4" i="2"/>
  <c r="O4" i="2" s="1"/>
  <c r="F4" i="2"/>
  <c r="AH4" i="18" l="1"/>
</calcChain>
</file>

<file path=xl/sharedStrings.xml><?xml version="1.0" encoding="utf-8"?>
<sst xmlns="http://schemas.openxmlformats.org/spreadsheetml/2006/main" count="348" uniqueCount="188">
  <si>
    <t>Дата</t>
  </si>
  <si>
    <t>ПФ Фреш Апельсин</t>
  </si>
  <si>
    <t xml:space="preserve">ПФ Фреш Грейпфрут </t>
  </si>
  <si>
    <t>Сотрудник</t>
  </si>
  <si>
    <t>Вес фруктов</t>
  </si>
  <si>
    <t>Выход (кг)</t>
  </si>
  <si>
    <t>Выход (л)</t>
  </si>
  <si>
    <t>Кэф</t>
  </si>
  <si>
    <t>Акт.общ.кэф</t>
  </si>
  <si>
    <t>Выход</t>
  </si>
  <si>
    <t>Григорий</t>
  </si>
  <si>
    <t>-</t>
  </si>
  <si>
    <t>Вероника</t>
  </si>
  <si>
    <t>Дима</t>
  </si>
  <si>
    <t>Мята</t>
  </si>
  <si>
    <t>Имбирь</t>
  </si>
  <si>
    <t>Кирилл</t>
  </si>
  <si>
    <t>Глеб</t>
  </si>
  <si>
    <t>Название</t>
  </si>
  <si>
    <t>ПФ Раствор Кислот</t>
  </si>
  <si>
    <t>ПФ Пюре - Малина-Смородина</t>
  </si>
  <si>
    <t>ПФ Пюре - Клубника</t>
  </si>
  <si>
    <t>ПФ Пюре - Персик</t>
  </si>
  <si>
    <t>ПФ Горячий Шоколад</t>
  </si>
  <si>
    <t>ПФ Кордиал - Манго</t>
  </si>
  <si>
    <t>ПФ Кордиал - Земляника</t>
  </si>
  <si>
    <t>ПФ Кордиал - Ягодный</t>
  </si>
  <si>
    <t>ПФ Кордиал - Ваниль-Маракуйя</t>
  </si>
  <si>
    <t>ПФ Кордиал - Клубника-Лайм</t>
  </si>
  <si>
    <t>Ингредиенты</t>
  </si>
  <si>
    <t>Кол-во (г)</t>
  </si>
  <si>
    <t>Технология приготовления</t>
  </si>
  <si>
    <t>Пф Смузи Зелёный</t>
  </si>
  <si>
    <t>Огурец</t>
  </si>
  <si>
    <t>Смешать все ингридиенты в блендере, пробить до однородности. Перелить по вакуум пакетам по 300 г</t>
  </si>
  <si>
    <t>Шпинат замороженный</t>
  </si>
  <si>
    <t>Киви пюре</t>
  </si>
  <si>
    <t>Банан</t>
  </si>
  <si>
    <t>Пюре Яблочное</t>
  </si>
  <si>
    <t>Спирулина</t>
  </si>
  <si>
    <t>5 шт</t>
  </si>
  <si>
    <t>ПФ Смузи - Ягодный</t>
  </si>
  <si>
    <t>ПФ Пюре Малина-Смородина</t>
  </si>
  <si>
    <t>Апельсины отчистить от цедры пиллером. Смешать ингредиенты в блендере, пробить до однородности, процедить через шинуа, расфасовать по пакетам по 250 г</t>
  </si>
  <si>
    <t>ПФ Пюре Клубника</t>
  </si>
  <si>
    <t>Коллаген Морской</t>
  </si>
  <si>
    <t>Апельсин Бар</t>
  </si>
  <si>
    <t>6 шт</t>
  </si>
  <si>
    <t>ПФ Сахар Лавандовый</t>
  </si>
  <si>
    <t>Сахар Бар</t>
  </si>
  <si>
    <t>Тщательно смешать</t>
  </si>
  <si>
    <t>Лаванда измельчённая</t>
  </si>
  <si>
    <t xml:space="preserve">ПФ Матча </t>
  </si>
  <si>
    <t>Матча</t>
  </si>
  <si>
    <t>Просеить матчу через сито, добавить половину объёма воды, взбить капучинатором до образования пены. Добавить вторую часть воды, тщательно перемешать.</t>
  </si>
  <si>
    <t>Вода</t>
  </si>
  <si>
    <t>Шоколад Молочный</t>
  </si>
  <si>
    <t>Смешать все ингредиенты в термомиксере. Поставить на 15 минут, t 80, V 2. Через 10 минут увелить V до 4. Перелить шоколад, накрыть в контакт до остывания.</t>
  </si>
  <si>
    <t>Какао</t>
  </si>
  <si>
    <t>Сливки 10%</t>
  </si>
  <si>
    <t>ПФ Пюре облепиха</t>
  </si>
  <si>
    <t>Облепиха с/м</t>
  </si>
  <si>
    <t>Смешать все ингредиенты, размешать и довести до кипения. Пробить блендером, процедить через шинуа.</t>
  </si>
  <si>
    <t>Сахар белый</t>
  </si>
  <si>
    <t>Малина с/м</t>
  </si>
  <si>
    <t>Смородина с/м</t>
  </si>
  <si>
    <t xml:space="preserve">Мята </t>
  </si>
  <si>
    <t>ПФ АйсТи Кения</t>
  </si>
  <si>
    <t>Чай Золото Кении</t>
  </si>
  <si>
    <t>Залить чай 1 литром горячей воды, оставить на 10 минут, долить холодной водой, остаить на 12 часов, отфильровать.</t>
  </si>
  <si>
    <t xml:space="preserve">Вода </t>
  </si>
  <si>
    <t>ПФ АйсТи Жасмин</t>
  </si>
  <si>
    <t>Чай Жасминовый Сад</t>
  </si>
  <si>
    <t>Залить чай холодной водой, остаить на 12 часов, отфильровать.</t>
  </si>
  <si>
    <t>ПФ Суперджус Лайм</t>
  </si>
  <si>
    <t>Цедра лайма</t>
  </si>
  <si>
    <t>Снять цедру с лаймов, исходя из веса цедры получить колличество остальных ингредиентов, цедру и кислоты соединить в вакуумпаке, оставить на 1-2 часа. Из лаймов выдавить фреш, соединить с содержимым вакуумпака, пробить в блендере, процедить через шинуа, отфильтровать через супербэг.</t>
  </si>
  <si>
    <t>Фреш лайма</t>
  </si>
  <si>
    <t>~~~~~~~~~~~</t>
  </si>
  <si>
    <t>Лимонная кислота</t>
  </si>
  <si>
    <t>Яблочная кислота</t>
  </si>
  <si>
    <t>ПФ Пюре Клубники</t>
  </si>
  <si>
    <t>Клубника с/м</t>
  </si>
  <si>
    <t>Берем ягоды, сахар и воду, варим до закипания. Убераем с плиты, пробиваем в блендере, процеживаем через шинуа.</t>
  </si>
  <si>
    <t>Сахар бар</t>
  </si>
  <si>
    <t>ПФ Сахарный Сироп</t>
  </si>
  <si>
    <t>Смешать в кастрюле, довести до кипения помешивая для полного растворения сахара.</t>
  </si>
  <si>
    <t>Смешать все ингредиенты в мерном стакане и тщательно размешать до полного растворения кислот и соли. Разлить по бутылкам.</t>
  </si>
  <si>
    <t>Молочная Кислота</t>
  </si>
  <si>
    <t>Яблочная Кислота</t>
  </si>
  <si>
    <t>Лимонная Кислота</t>
  </si>
  <si>
    <t>Аскорбиновая Кислота</t>
  </si>
  <si>
    <t>Соль</t>
  </si>
  <si>
    <t>ПФ Сироп Ваниль</t>
  </si>
  <si>
    <t>ПФ Протеин Банан-Клубника</t>
  </si>
  <si>
    <t xml:space="preserve">Банан </t>
  </si>
  <si>
    <t>Овясное молоко</t>
  </si>
  <si>
    <t>Протеин</t>
  </si>
  <si>
    <t>ПФ Пюре клубника</t>
  </si>
  <si>
    <t>Смешать все ингредиенты.</t>
  </si>
  <si>
    <t>ПФ Суперджус лайм</t>
  </si>
  <si>
    <t>Сироп herb. Клубника</t>
  </si>
  <si>
    <t>Пюре Маракуйя</t>
  </si>
  <si>
    <t>Ванильный Сахар</t>
  </si>
  <si>
    <t>ПФ Пюре Персик</t>
  </si>
  <si>
    <t>Персики в сиропе</t>
  </si>
  <si>
    <t>Слить с персиков сироп, пробить в блендере. НЕ ПРОЦЕЖИВАТЬ.</t>
  </si>
  <si>
    <t>ПФ Кордиал - Персик-Маракуйя</t>
  </si>
  <si>
    <t>Сироп Персик</t>
  </si>
  <si>
    <t xml:space="preserve">Сироп Малина </t>
  </si>
  <si>
    <t>Пюре Манго</t>
  </si>
  <si>
    <t>Сироп Манго</t>
  </si>
  <si>
    <t>Сироп Клубника</t>
  </si>
  <si>
    <t xml:space="preserve">ПФ Смузи - Облепиха </t>
  </si>
  <si>
    <t>Имбирь и Апельсины отчистить от цедры. Смешать все ингредиенты в блендере, пробить до однородности. Процедить через шинуа. Расфасовать по пакетам по 250 г.</t>
  </si>
  <si>
    <t xml:space="preserve">Мед </t>
  </si>
  <si>
    <t>Апельсины БАР</t>
  </si>
  <si>
    <t xml:space="preserve">ПФ Протеин - Черника </t>
  </si>
  <si>
    <t>Черника с/м</t>
  </si>
  <si>
    <t>Смешать чернику и ежевику с молоком в сотейнике - нагреть, до кипения НЕ ДОВОДИТЬ. Пробить и процедить, только после этого добавить протеин пробить и расфасовать по пакетам по 350 г</t>
  </si>
  <si>
    <t>Ежевика с/м</t>
  </si>
  <si>
    <t>Кокосовое молоко</t>
  </si>
  <si>
    <t>Сывороточный протеин</t>
  </si>
  <si>
    <t>1 шт</t>
  </si>
  <si>
    <t>ПФ Сироп - Ягодный Таро</t>
  </si>
  <si>
    <t xml:space="preserve">Ягоды, сахар, воду и смесь смешать в сотейнике и довести до кипения помешивая. Пробить в блендере и процедить через шинуа. </t>
  </si>
  <si>
    <t>Смесь Таро</t>
  </si>
  <si>
    <t>Сахар</t>
  </si>
  <si>
    <t>5,025 кг</t>
  </si>
  <si>
    <t>ПФ Смузи - Тропический</t>
  </si>
  <si>
    <t>Ананасы в сиропе</t>
  </si>
  <si>
    <t>Смешать все ингредиенты в блендере и пробить до однородности, НЕ ПРОЦЕЖИВАТЬ. Расфасовать по пакетам по 250г.</t>
  </si>
  <si>
    <t>Клетчатка (Псиллиум)</t>
  </si>
  <si>
    <t>Розовая Матча</t>
  </si>
  <si>
    <t>ПФ Протеин - Миндаль</t>
  </si>
  <si>
    <t>Миндальное молоко</t>
  </si>
  <si>
    <t>Все ингредиенты смешать в блендере и пробить до однородности, расфасовать по пакетам по 360 г.</t>
  </si>
  <si>
    <t>Финики</t>
  </si>
  <si>
    <t xml:space="preserve">Соевый Протеин </t>
  </si>
  <si>
    <t>Кофе Зерно</t>
  </si>
  <si>
    <t>ПФ Кордиал - Крем-Сода</t>
  </si>
  <si>
    <t>Апельсиновая Цедра</t>
  </si>
  <si>
    <t>с 3х апельсинов</t>
  </si>
  <si>
    <t xml:space="preserve">Снять цедру с 3х апельсинов на мелкой терке, добавить её в сотейник к сахару и воде, варить до закипания, иногда помешивая. Остудить, и отфильтровать. Добавить карамельный сироп и кислоты. </t>
  </si>
  <si>
    <t>Сироп Соленая Карамель</t>
  </si>
  <si>
    <t>ПФ Кордиал - Байкал</t>
  </si>
  <si>
    <t>Травы посестить в двойной фильтр пакет или мешок. Добавить в сотейник воду и сахар, варить до кипения вместе с травами и шишками. После закипания добавить ментол и быстро размешать его. Остудить и отфильровать, шишки сложить отдельно на уркашение. Добавить сироп Тайга и раствор кислот.</t>
  </si>
  <si>
    <t>Сироп Хербариста Тайга</t>
  </si>
  <si>
    <t>Шишки</t>
  </si>
  <si>
    <t xml:space="preserve">Ментол </t>
  </si>
  <si>
    <t>5 кристаллов</t>
  </si>
  <si>
    <t>Пихта</t>
  </si>
  <si>
    <t>Зверобой</t>
  </si>
  <si>
    <t>ПФ АйсТи Иван-Чай</t>
  </si>
  <si>
    <t>Иван-Чай</t>
  </si>
  <si>
    <t>Настаивать 12 часов холодным завариванием.</t>
  </si>
  <si>
    <t>ПФ - Какао</t>
  </si>
  <si>
    <t>Добавить горячую воду, взбить капучинатором до образования пены.</t>
  </si>
  <si>
    <t>ПЮРЕ и СИРОПЫ</t>
  </si>
  <si>
    <t>КОРДИАЛЫ</t>
  </si>
  <si>
    <t>СМУЗИ И ПРОТЕИНЫ</t>
  </si>
  <si>
    <t>Смешать все ингредиенты в вакуумном пакете, фасовать по 360г.</t>
  </si>
  <si>
    <t>ДРУГИЕ ЗАГОТОВКИ</t>
  </si>
  <si>
    <t>пн</t>
  </si>
  <si>
    <t>вт</t>
  </si>
  <si>
    <t>ср</t>
  </si>
  <si>
    <t>чт</t>
  </si>
  <si>
    <t>пт</t>
  </si>
  <si>
    <t>сб</t>
  </si>
  <si>
    <t>вс</t>
  </si>
  <si>
    <t>кто/число</t>
  </si>
  <si>
    <t>Часы</t>
  </si>
  <si>
    <t>Ставка</t>
  </si>
  <si>
    <t>Ожидаемая зп.</t>
  </si>
  <si>
    <t>/день недели</t>
  </si>
  <si>
    <t>в</t>
  </si>
  <si>
    <t>у</t>
  </si>
  <si>
    <t>ц</t>
  </si>
  <si>
    <t>Анна</t>
  </si>
  <si>
    <t>Общ часы:</t>
  </si>
  <si>
    <t>Марк</t>
  </si>
  <si>
    <t>Часы ген. уборки на 1 сотрудника</t>
  </si>
  <si>
    <t>У - утренняя смена (с 11:00 до 18:00)</t>
  </si>
  <si>
    <t>Ц - целая смена (с 11:00 до закрытия)</t>
  </si>
  <si>
    <t>В - вечерняя смена (с 18:00 до закрытия)</t>
  </si>
  <si>
    <t xml:space="preserve">З - заготовочная смена </t>
  </si>
  <si>
    <t>12 января - снова в прежнем режиме с 12:00 до 00:00</t>
  </si>
  <si>
    <t>В - вечерняя смена (с 16:00 до закрытия)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</si>
</sst>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"/>
  </numFmts>
  <fonts count="2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3"/>
      <color theme="1"/>
      <name val="Arial"/>
      <scheme val="minor"/>
    </font>
    <font>
      <sz val="10"/>
      <name val="Arial"/>
    </font>
    <font>
      <sz val="11"/>
      <color theme="1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</font>
    <font>
      <sz val="18"/>
      <color theme="1"/>
      <name val="Century Gothic"/>
    </font>
    <font>
      <sz val="10"/>
      <color theme="1"/>
      <name val="Century Gothic"/>
    </font>
    <font>
      <sz val="17"/>
      <color theme="1"/>
      <name val="Century Gothic"/>
    </font>
    <font>
      <sz val="20"/>
      <color theme="1"/>
      <name val="Arial"/>
    </font>
    <font>
      <sz val="7"/>
      <color theme="1"/>
      <name val="Century Gothic"/>
    </font>
    <font>
      <sz val="7"/>
      <color theme="1"/>
      <name val="Arial"/>
    </font>
    <font>
      <sz val="13"/>
      <color theme="1"/>
      <name val="Century Gothic"/>
    </font>
    <font>
      <sz val="10"/>
      <color theme="1"/>
      <name val="Arial"/>
    </font>
    <font>
      <sz val="10"/>
      <color theme="1"/>
      <name val="Century Gothic"/>
    </font>
    <font>
      <sz val="13"/>
      <color theme="1"/>
      <name val="Arial"/>
    </font>
    <font>
      <sz val="11"/>
      <color theme="1"/>
      <name val="Arial"/>
    </font>
    <font>
      <sz val="14"/>
      <color theme="1"/>
      <name val="Arial"/>
      <scheme val="minor"/>
    </font>
    <font>
      <sz val="9"/>
      <color theme="1"/>
      <name val="Arial"/>
      <scheme val="minor"/>
    </font>
    <font>
      <b/>
      <sz val="14"/>
      <color theme="1"/>
      <name val="Arial"/>
    </font>
    <font>
      <b/>
      <sz val="17"/>
      <color theme="1"/>
      <name val="Arial"/>
    </font>
    <font>
      <sz val="8"/>
      <color theme="1"/>
      <name val="Century Gothic"/>
    </font>
    <font>
      <sz val="7"/>
      <color theme="1"/>
      <name val="Arial"/>
      <scheme val="minor"/>
    </font>
    <font>
      <sz val="15"/>
      <color theme="1"/>
      <name val="Century Gothic"/>
    </font>
    <font>
      <sz val="12"/>
      <color rgb="FF000000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 applyFont="1" applyAlignment="1"/>
    <xf numFmtId="0" fontId="1" fillId="0" borderId="2" xfId="0" applyFont="1" applyBorder="1"/>
    <xf numFmtId="0" fontId="1" fillId="0" borderId="8" xfId="0" applyFont="1" applyBorder="1"/>
    <xf numFmtId="0" fontId="1" fillId="0" borderId="10" xfId="0" applyFont="1" applyBorder="1" applyAlignment="1"/>
    <xf numFmtId="10" fontId="1" fillId="0" borderId="10" xfId="0" applyNumberFormat="1" applyFont="1" applyBorder="1" applyAlignment="1"/>
    <xf numFmtId="0" fontId="1" fillId="0" borderId="0" xfId="0" applyFont="1" applyAlignment="1"/>
    <xf numFmtId="164" fontId="1" fillId="0" borderId="4" xfId="0" applyNumberFormat="1" applyFont="1" applyBorder="1" applyAlignment="1"/>
    <xf numFmtId="10" fontId="1" fillId="0" borderId="0" xfId="0" applyNumberFormat="1" applyFont="1"/>
    <xf numFmtId="10" fontId="2" fillId="0" borderId="10" xfId="0" applyNumberFormat="1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0" xfId="0" applyFont="1" applyAlignment="1"/>
    <xf numFmtId="0" fontId="1" fillId="0" borderId="12" xfId="0" applyFont="1" applyBorder="1" applyAlignment="1"/>
    <xf numFmtId="0" fontId="1" fillId="0" borderId="13" xfId="0" applyFont="1" applyBorder="1" applyAlignment="1"/>
    <xf numFmtId="0" fontId="3" fillId="4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5" xfId="0" applyFont="1" applyBorder="1"/>
    <xf numFmtId="0" fontId="1" fillId="0" borderId="6" xfId="0" applyFont="1" applyBorder="1" applyAlignment="1"/>
    <xf numFmtId="0" fontId="1" fillId="0" borderId="9" xfId="0" applyFont="1" applyBorder="1" applyAlignment="1">
      <alignment horizontal="right" wrapText="1"/>
    </xf>
    <xf numFmtId="0" fontId="1" fillId="0" borderId="4" xfId="0" applyFont="1" applyBorder="1" applyAlignment="1"/>
    <xf numFmtId="0" fontId="1" fillId="0" borderId="11" xfId="0" applyFont="1" applyBorder="1" applyAlignment="1">
      <alignment wrapText="1"/>
    </xf>
    <xf numFmtId="0" fontId="1" fillId="0" borderId="9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11" xfId="0" applyFont="1" applyBorder="1" applyAlignment="1">
      <alignment horizontal="right" wrapText="1"/>
    </xf>
    <xf numFmtId="0" fontId="1" fillId="0" borderId="9" xfId="0" applyFont="1" applyBorder="1" applyAlignment="1"/>
    <xf numFmtId="0" fontId="1" fillId="0" borderId="13" xfId="0" applyFont="1" applyBorder="1" applyAlignment="1">
      <alignment horizontal="left" wrapText="1"/>
    </xf>
    <xf numFmtId="0" fontId="1" fillId="0" borderId="14" xfId="0" applyFont="1" applyBorder="1" applyAlignment="1"/>
    <xf numFmtId="0" fontId="1" fillId="0" borderId="0" xfId="0" applyFont="1" applyAlignment="1">
      <alignment horizontal="right"/>
    </xf>
    <xf numFmtId="0" fontId="1" fillId="0" borderId="8" xfId="0" applyFont="1" applyBorder="1" applyAlignment="1"/>
    <xf numFmtId="0" fontId="1" fillId="0" borderId="11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164" fontId="8" fillId="0" borderId="14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7" fillId="0" borderId="20" xfId="0" applyFont="1" applyBorder="1"/>
    <xf numFmtId="0" fontId="7" fillId="0" borderId="21" xfId="0" applyFont="1" applyBorder="1"/>
    <xf numFmtId="0" fontId="10" fillId="6" borderId="22" xfId="0" applyFont="1" applyFill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7" fillId="0" borderId="7" xfId="0" applyFont="1" applyBorder="1"/>
    <xf numFmtId="0" fontId="7" fillId="0" borderId="0" xfId="0" applyFont="1"/>
    <xf numFmtId="0" fontId="12" fillId="6" borderId="15" xfId="0" applyFont="1" applyFill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3" fillId="0" borderId="10" xfId="0" applyFont="1" applyBorder="1"/>
    <xf numFmtId="0" fontId="13" fillId="0" borderId="10" xfId="0" applyFont="1" applyBorder="1" applyAlignment="1"/>
    <xf numFmtId="0" fontId="13" fillId="0" borderId="0" xfId="0" applyFont="1"/>
    <xf numFmtId="0" fontId="8" fillId="6" borderId="15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 vertical="center"/>
    </xf>
    <xf numFmtId="20" fontId="7" fillId="0" borderId="10" xfId="0" applyNumberFormat="1" applyFont="1" applyBorder="1"/>
    <xf numFmtId="20" fontId="7" fillId="0" borderId="0" xfId="0" applyNumberFormat="1" applyFont="1"/>
    <xf numFmtId="0" fontId="12" fillId="10" borderId="14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9" borderId="14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13" fillId="0" borderId="15" xfId="0" applyFont="1" applyBorder="1" applyAlignment="1">
      <alignment horizontal="center" vertical="center"/>
    </xf>
    <xf numFmtId="0" fontId="12" fillId="9" borderId="14" xfId="0" applyFont="1" applyFill="1" applyBorder="1" applyAlignment="1">
      <alignment horizontal="center"/>
    </xf>
    <xf numFmtId="0" fontId="14" fillId="0" borderId="14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20" fontId="17" fillId="0" borderId="0" xfId="0" applyNumberFormat="1" applyFont="1"/>
    <xf numFmtId="0" fontId="14" fillId="6" borderId="15" xfId="0" applyFont="1" applyFill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2" fillId="11" borderId="14" xfId="0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20" fontId="18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8" fillId="6" borderId="12" xfId="0" applyFont="1" applyFill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20" fontId="18" fillId="0" borderId="10" xfId="0" applyNumberFormat="1" applyFont="1" applyBorder="1" applyAlignment="1">
      <alignment horizontal="center" vertical="center"/>
    </xf>
    <xf numFmtId="0" fontId="13" fillId="0" borderId="14" xfId="0" applyFont="1" applyBorder="1"/>
    <xf numFmtId="0" fontId="13" fillId="0" borderId="0" xfId="0" applyFont="1" applyAlignment="1"/>
    <xf numFmtId="0" fontId="14" fillId="6" borderId="10" xfId="0" applyFont="1" applyFill="1" applyBorder="1" applyAlignment="1">
      <alignment horizontal="center"/>
    </xf>
    <xf numFmtId="0" fontId="8" fillId="6" borderId="0" xfId="0" applyFont="1" applyFill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0" fillId="0" borderId="2" xfId="0" applyFont="1" applyBorder="1" applyAlignment="1"/>
    <xf numFmtId="0" fontId="7" fillId="0" borderId="2" xfId="0" applyFont="1" applyBorder="1" applyAlignment="1"/>
    <xf numFmtId="0" fontId="7" fillId="0" borderId="2" xfId="0" applyFont="1" applyBorder="1"/>
    <xf numFmtId="0" fontId="8" fillId="0" borderId="2" xfId="0" applyFont="1" applyBorder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20" fontId="22" fillId="0" borderId="2" xfId="0" applyNumberFormat="1" applyFont="1" applyBorder="1" applyAlignment="1">
      <alignment horizontal="center" vertical="center"/>
    </xf>
    <xf numFmtId="0" fontId="7" fillId="0" borderId="8" xfId="0" applyFont="1" applyBorder="1"/>
    <xf numFmtId="0" fontId="23" fillId="0" borderId="1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20" fontId="2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25" fillId="0" borderId="0" xfId="0" applyFont="1" applyAlignment="1">
      <alignment horizontal="center" vertical="center"/>
    </xf>
    <xf numFmtId="0" fontId="7" fillId="0" borderId="0" xfId="0" applyFont="1" applyAlignment="1"/>
    <xf numFmtId="0" fontId="7" fillId="0" borderId="11" xfId="0" applyFont="1" applyBorder="1"/>
    <xf numFmtId="0" fontId="13" fillId="0" borderId="14" xfId="0" applyFont="1" applyBorder="1" applyAlignment="1">
      <alignment vertical="center"/>
    </xf>
    <xf numFmtId="0" fontId="8" fillId="6" borderId="24" xfId="0" applyFont="1" applyFill="1" applyBorder="1" applyAlignment="1">
      <alignment horizontal="center" vertical="center"/>
    </xf>
    <xf numFmtId="0" fontId="7" fillId="0" borderId="24" xfId="0" applyFont="1" applyBorder="1"/>
    <xf numFmtId="0" fontId="7" fillId="6" borderId="0" xfId="0" applyFont="1" applyFill="1"/>
    <xf numFmtId="0" fontId="6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8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9" xfId="0" applyFont="1" applyBorder="1"/>
    <xf numFmtId="0" fontId="3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2" fillId="5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0" fontId="4" fillId="0" borderId="11" xfId="0" applyFont="1" applyBorder="1"/>
    <xf numFmtId="0" fontId="4" fillId="0" borderId="4" xfId="0" applyFont="1" applyBorder="1"/>
    <xf numFmtId="0" fontId="5" fillId="8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1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3">
    <tableStyle name="Список задач-style" pivot="0" count="4" xr9:uid="{00000000-0011-0000-FFFF-FFFF00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Список Кандидатов-style" pivot="0" count="4" xr9:uid="{00000000-0011-0000-FFFF-FFFF01000000}">
      <tableStyleElement type="wholeTable" size="0" dxfId="3"/>
      <tableStyleElement type="headerRow" dxfId="6"/>
      <tableStyleElement type="firstRowStripe" dxfId="5"/>
      <tableStyleElement type="secondRowStripe" dxfId="4"/>
    </tableStyle>
    <tableStyle name="Список Кандидатов-style 2" pivot="0" count="2" xr9:uid="{00000000-0011-0000-FFFF-FFFF02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O1000"/>
  <sheetViews>
    <sheetView workbookViewId="0"/>
  </sheetViews>
  <sheetFormatPr defaultColWidth="12.5703125" defaultRowHeight="15.75" customHeight="1" x14ac:dyDescent="0.2"/>
  <cols>
    <col min="1" max="6" width="11" customWidth="1"/>
    <col min="8" max="8" width="3.42578125" customWidth="1"/>
    <col min="9" max="15" width="11.140625" customWidth="1"/>
  </cols>
  <sheetData>
    <row r="1" spans="1:15" x14ac:dyDescent="0.2">
      <c r="A1" s="133" t="s">
        <v>1</v>
      </c>
      <c r="B1" s="134"/>
      <c r="C1" s="134"/>
      <c r="D1" s="134"/>
      <c r="E1" s="134"/>
      <c r="F1" s="134"/>
      <c r="G1" s="135"/>
      <c r="I1" s="139" t="s">
        <v>2</v>
      </c>
      <c r="J1" s="134"/>
      <c r="K1" s="134"/>
      <c r="L1" s="134"/>
      <c r="M1" s="134"/>
      <c r="N1" s="134"/>
      <c r="O1" s="135"/>
    </row>
    <row r="2" spans="1:15" x14ac:dyDescent="0.2">
      <c r="A2" s="136"/>
      <c r="B2" s="137"/>
      <c r="C2" s="137"/>
      <c r="D2" s="137"/>
      <c r="E2" s="137"/>
      <c r="F2" s="137"/>
      <c r="G2" s="138"/>
      <c r="I2" s="136"/>
      <c r="J2" s="137"/>
      <c r="K2" s="137"/>
      <c r="L2" s="137"/>
      <c r="M2" s="137"/>
      <c r="N2" s="137"/>
      <c r="O2" s="138"/>
    </row>
    <row r="3" spans="1:15" x14ac:dyDescent="0.2">
      <c r="A3" s="3" t="s">
        <v>0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3" t="s">
        <v>8</v>
      </c>
      <c r="H3" s="5"/>
      <c r="I3" s="3" t="s">
        <v>0</v>
      </c>
      <c r="J3" s="3" t="s">
        <v>3</v>
      </c>
      <c r="K3" s="3" t="s">
        <v>4</v>
      </c>
      <c r="L3" s="3" t="s">
        <v>9</v>
      </c>
      <c r="M3" s="3" t="s">
        <v>6</v>
      </c>
      <c r="N3" s="4" t="s">
        <v>7</v>
      </c>
      <c r="O3" s="3" t="s">
        <v>8</v>
      </c>
    </row>
    <row r="4" spans="1:15" x14ac:dyDescent="0.2">
      <c r="A4" s="6">
        <v>46105</v>
      </c>
      <c r="B4" s="5" t="s">
        <v>10</v>
      </c>
      <c r="C4" s="5">
        <v>9.1389999999999993</v>
      </c>
      <c r="D4" s="5">
        <v>4.4729999999999999</v>
      </c>
      <c r="E4" s="5" t="s">
        <v>11</v>
      </c>
      <c r="F4" s="7">
        <f t="shared" ref="F4:F9" si="0">D4/C4</f>
        <v>0.48944085786191049</v>
      </c>
      <c r="G4" s="8">
        <f>AVERAGE(F4:F27)</f>
        <v>0.44332852423741897</v>
      </c>
      <c r="I4" s="6">
        <v>46105</v>
      </c>
      <c r="J4" s="5" t="s">
        <v>10</v>
      </c>
      <c r="K4" s="5">
        <v>5.1509999999999998</v>
      </c>
      <c r="L4" s="5">
        <v>2.23</v>
      </c>
      <c r="M4" s="5"/>
      <c r="N4" s="7">
        <f t="shared" ref="N4:N5" si="1">L4/K4</f>
        <v>0.43292564550572704</v>
      </c>
      <c r="O4" s="8">
        <f>AVERAGE(N4:N24)</f>
        <v>0.43296841305038103</v>
      </c>
    </row>
    <row r="5" spans="1:15" x14ac:dyDescent="0.2">
      <c r="A5" s="6">
        <v>46105</v>
      </c>
      <c r="B5" s="5" t="s">
        <v>10</v>
      </c>
      <c r="C5" s="5">
        <v>15.061</v>
      </c>
      <c r="D5" s="5">
        <v>7.2489999999999997</v>
      </c>
      <c r="E5" s="5" t="s">
        <v>11</v>
      </c>
      <c r="F5" s="7">
        <f t="shared" si="0"/>
        <v>0.4813093420091627</v>
      </c>
      <c r="G5" s="9"/>
      <c r="I5" s="6">
        <v>46105</v>
      </c>
      <c r="J5" s="5" t="s">
        <v>10</v>
      </c>
      <c r="K5" s="5">
        <v>5.2770000000000001</v>
      </c>
      <c r="L5" s="5">
        <v>2.2850000000000001</v>
      </c>
      <c r="M5" s="5"/>
      <c r="N5" s="7">
        <f t="shared" si="1"/>
        <v>0.43301118059503507</v>
      </c>
      <c r="O5" s="9"/>
    </row>
    <row r="6" spans="1:15" x14ac:dyDescent="0.2">
      <c r="A6" s="6">
        <v>46106</v>
      </c>
      <c r="B6" s="5" t="s">
        <v>12</v>
      </c>
      <c r="C6" s="5">
        <v>5.3460000000000001</v>
      </c>
      <c r="D6" s="5">
        <v>2.5</v>
      </c>
      <c r="E6" s="5">
        <v>2.5</v>
      </c>
      <c r="F6" s="7">
        <f t="shared" si="0"/>
        <v>0.4676393565282454</v>
      </c>
      <c r="G6" s="9"/>
      <c r="I6" s="10"/>
      <c r="K6" s="11"/>
      <c r="N6" s="7"/>
      <c r="O6" s="9"/>
    </row>
    <row r="7" spans="1:15" x14ac:dyDescent="0.2">
      <c r="A7" s="6">
        <v>46106</v>
      </c>
      <c r="B7" s="5" t="s">
        <v>13</v>
      </c>
      <c r="C7" s="5">
        <v>9.8979999999999997</v>
      </c>
      <c r="D7" s="5">
        <v>4.2329999999999997</v>
      </c>
      <c r="E7" s="5">
        <v>4.2</v>
      </c>
      <c r="F7" s="7">
        <f t="shared" si="0"/>
        <v>0.42766215397049906</v>
      </c>
      <c r="G7" s="9"/>
      <c r="I7" s="10"/>
      <c r="N7" s="7"/>
      <c r="O7" s="9"/>
    </row>
    <row r="8" spans="1:15" x14ac:dyDescent="0.2">
      <c r="A8" s="6">
        <v>46106</v>
      </c>
      <c r="B8" s="5" t="s">
        <v>13</v>
      </c>
      <c r="C8" s="5">
        <v>9.4049999999999994</v>
      </c>
      <c r="D8" s="5">
        <v>3.6720000000000002</v>
      </c>
      <c r="E8" s="5">
        <v>3.6</v>
      </c>
      <c r="F8" s="7">
        <f t="shared" si="0"/>
        <v>0.39043062200956941</v>
      </c>
      <c r="G8" s="9"/>
      <c r="I8" s="10"/>
      <c r="N8" s="7"/>
      <c r="O8" s="9"/>
    </row>
    <row r="9" spans="1:15" x14ac:dyDescent="0.2">
      <c r="A9" s="6">
        <v>46106</v>
      </c>
      <c r="B9" s="5" t="s">
        <v>13</v>
      </c>
      <c r="C9" s="5">
        <v>10.548</v>
      </c>
      <c r="D9" s="5">
        <v>4.2560000000000002</v>
      </c>
      <c r="E9" s="5">
        <v>4.2</v>
      </c>
      <c r="F9" s="7">
        <f t="shared" si="0"/>
        <v>0.40348881304512707</v>
      </c>
      <c r="G9" s="9"/>
      <c r="I9" s="10"/>
      <c r="N9" s="7"/>
      <c r="O9" s="9"/>
    </row>
    <row r="10" spans="1:15" x14ac:dyDescent="0.2">
      <c r="A10" s="6"/>
      <c r="F10" s="7"/>
      <c r="G10" s="9"/>
      <c r="I10" s="10"/>
      <c r="N10" s="7"/>
      <c r="O10" s="9"/>
    </row>
    <row r="11" spans="1:15" x14ac:dyDescent="0.2">
      <c r="A11" s="6"/>
      <c r="F11" s="7"/>
      <c r="G11" s="9"/>
      <c r="I11" s="10"/>
      <c r="N11" s="7"/>
      <c r="O11" s="9"/>
    </row>
    <row r="12" spans="1:15" x14ac:dyDescent="0.2">
      <c r="A12" s="10"/>
      <c r="F12" s="7"/>
      <c r="G12" s="9"/>
      <c r="I12" s="10"/>
      <c r="N12" s="7"/>
      <c r="O12" s="9"/>
    </row>
    <row r="13" spans="1:15" x14ac:dyDescent="0.2">
      <c r="A13" s="10"/>
      <c r="F13" s="7"/>
      <c r="G13" s="9"/>
      <c r="I13" s="10"/>
      <c r="N13" s="7"/>
      <c r="O13" s="9"/>
    </row>
    <row r="14" spans="1:15" x14ac:dyDescent="0.2">
      <c r="A14" s="10"/>
      <c r="F14" s="7"/>
      <c r="G14" s="9"/>
      <c r="I14" s="10"/>
      <c r="N14" s="7"/>
      <c r="O14" s="9"/>
    </row>
    <row r="15" spans="1:15" x14ac:dyDescent="0.2">
      <c r="A15" s="10"/>
      <c r="F15" s="7"/>
      <c r="G15" s="9"/>
      <c r="I15" s="10"/>
      <c r="N15" s="7"/>
      <c r="O15" s="9"/>
    </row>
    <row r="16" spans="1:15" x14ac:dyDescent="0.2">
      <c r="A16" s="10"/>
      <c r="F16" s="7"/>
      <c r="G16" s="9"/>
      <c r="I16" s="10"/>
      <c r="N16" s="7"/>
      <c r="O16" s="9"/>
    </row>
    <row r="17" spans="1:15" x14ac:dyDescent="0.2">
      <c r="A17" s="10"/>
      <c r="F17" s="7"/>
      <c r="G17" s="9"/>
      <c r="I17" s="10"/>
      <c r="N17" s="7"/>
      <c r="O17" s="9"/>
    </row>
    <row r="18" spans="1:15" x14ac:dyDescent="0.2">
      <c r="A18" s="10"/>
      <c r="F18" s="7"/>
      <c r="G18" s="9"/>
      <c r="I18" s="10"/>
      <c r="N18" s="7"/>
      <c r="O18" s="9"/>
    </row>
    <row r="19" spans="1:15" x14ac:dyDescent="0.2">
      <c r="A19" s="10"/>
      <c r="F19" s="7"/>
      <c r="G19" s="9"/>
      <c r="I19" s="10"/>
      <c r="N19" s="7"/>
      <c r="O19" s="9"/>
    </row>
    <row r="20" spans="1:15" x14ac:dyDescent="0.2">
      <c r="A20" s="10"/>
      <c r="F20" s="7"/>
      <c r="G20" s="9"/>
      <c r="I20" s="10"/>
      <c r="N20" s="7"/>
      <c r="O20" s="9"/>
    </row>
    <row r="21" spans="1:15" x14ac:dyDescent="0.2">
      <c r="A21" s="10"/>
      <c r="F21" s="7"/>
      <c r="G21" s="9"/>
      <c r="I21" s="10"/>
      <c r="N21" s="7"/>
      <c r="O21" s="9"/>
    </row>
    <row r="22" spans="1:15" x14ac:dyDescent="0.2">
      <c r="A22" s="10"/>
      <c r="F22" s="7"/>
      <c r="G22" s="9"/>
      <c r="I22" s="10"/>
      <c r="N22" s="7"/>
      <c r="O22" s="9"/>
    </row>
    <row r="23" spans="1:15" x14ac:dyDescent="0.2">
      <c r="A23" s="10"/>
      <c r="F23" s="7"/>
      <c r="G23" s="9"/>
      <c r="I23" s="10"/>
      <c r="N23" s="7"/>
      <c r="O23" s="9"/>
    </row>
    <row r="24" spans="1:15" x14ac:dyDescent="0.2">
      <c r="A24" s="10"/>
      <c r="F24" s="7"/>
      <c r="G24" s="9"/>
      <c r="I24" s="10"/>
      <c r="N24" s="7"/>
      <c r="O24" s="9"/>
    </row>
    <row r="25" spans="1:15" x14ac:dyDescent="0.2">
      <c r="A25" s="10"/>
      <c r="F25" s="7"/>
      <c r="G25" s="9"/>
      <c r="I25" s="10"/>
      <c r="N25" s="7"/>
      <c r="O25" s="9"/>
    </row>
    <row r="26" spans="1:15" x14ac:dyDescent="0.2">
      <c r="A26" s="10"/>
      <c r="F26" s="7"/>
      <c r="G26" s="9"/>
      <c r="I26" s="10"/>
      <c r="N26" s="7"/>
      <c r="O26" s="9"/>
    </row>
    <row r="27" spans="1:15" x14ac:dyDescent="0.2">
      <c r="A27" s="10"/>
      <c r="F27" s="7"/>
      <c r="G27" s="9"/>
      <c r="I27" s="10"/>
      <c r="N27" s="7"/>
      <c r="O27" s="9"/>
    </row>
    <row r="28" spans="1:15" x14ac:dyDescent="0.2">
      <c r="A28" s="10"/>
      <c r="F28" s="7"/>
      <c r="G28" s="9"/>
      <c r="I28" s="10"/>
      <c r="N28" s="7"/>
      <c r="O28" s="9"/>
    </row>
    <row r="29" spans="1:15" x14ac:dyDescent="0.2">
      <c r="A29" s="10"/>
      <c r="F29" s="7"/>
      <c r="G29" s="9"/>
      <c r="I29" s="10"/>
      <c r="N29" s="7"/>
      <c r="O29" s="9"/>
    </row>
    <row r="30" spans="1:15" x14ac:dyDescent="0.2">
      <c r="A30" s="10"/>
      <c r="F30" s="7"/>
      <c r="G30" s="9"/>
      <c r="I30" s="10"/>
      <c r="N30" s="7"/>
      <c r="O30" s="9"/>
    </row>
    <row r="31" spans="1:15" x14ac:dyDescent="0.2">
      <c r="A31" s="10"/>
      <c r="F31" s="7"/>
      <c r="G31" s="9"/>
      <c r="I31" s="10"/>
      <c r="N31" s="7"/>
      <c r="O31" s="9"/>
    </row>
    <row r="32" spans="1:15" x14ac:dyDescent="0.2">
      <c r="A32" s="10"/>
      <c r="F32" s="7"/>
      <c r="G32" s="9"/>
      <c r="I32" s="10"/>
      <c r="N32" s="7"/>
      <c r="O32" s="9"/>
    </row>
    <row r="33" spans="1:15" x14ac:dyDescent="0.2">
      <c r="A33" s="10"/>
      <c r="F33" s="7"/>
      <c r="G33" s="9"/>
      <c r="I33" s="10"/>
      <c r="N33" s="7"/>
      <c r="O33" s="9"/>
    </row>
    <row r="34" spans="1:15" x14ac:dyDescent="0.2">
      <c r="A34" s="10"/>
      <c r="F34" s="7"/>
      <c r="G34" s="9"/>
      <c r="I34" s="10"/>
      <c r="N34" s="7"/>
      <c r="O34" s="9"/>
    </row>
    <row r="35" spans="1:15" x14ac:dyDescent="0.2">
      <c r="A35" s="10"/>
      <c r="F35" s="7"/>
      <c r="G35" s="9"/>
      <c r="I35" s="10"/>
      <c r="N35" s="7"/>
      <c r="O35" s="9"/>
    </row>
    <row r="36" spans="1:15" x14ac:dyDescent="0.2">
      <c r="A36" s="10"/>
      <c r="F36" s="7"/>
      <c r="G36" s="9"/>
      <c r="I36" s="10"/>
      <c r="N36" s="7"/>
      <c r="O36" s="9"/>
    </row>
    <row r="37" spans="1:15" x14ac:dyDescent="0.2">
      <c r="A37" s="10"/>
      <c r="F37" s="7"/>
      <c r="G37" s="9"/>
      <c r="I37" s="10"/>
      <c r="N37" s="7"/>
      <c r="O37" s="9"/>
    </row>
    <row r="38" spans="1:15" x14ac:dyDescent="0.2">
      <c r="A38" s="10"/>
      <c r="F38" s="7"/>
      <c r="G38" s="9"/>
      <c r="I38" s="10"/>
      <c r="N38" s="7"/>
      <c r="O38" s="9"/>
    </row>
    <row r="39" spans="1:15" x14ac:dyDescent="0.2">
      <c r="A39" s="10"/>
      <c r="F39" s="7"/>
      <c r="G39" s="9"/>
      <c r="I39" s="10"/>
      <c r="N39" s="7"/>
      <c r="O39" s="9"/>
    </row>
    <row r="40" spans="1:15" x14ac:dyDescent="0.2">
      <c r="A40" s="10"/>
      <c r="F40" s="7"/>
      <c r="G40" s="9"/>
      <c r="I40" s="10"/>
      <c r="N40" s="7"/>
      <c r="O40" s="9"/>
    </row>
    <row r="41" spans="1:15" x14ac:dyDescent="0.2">
      <c r="A41" s="10"/>
      <c r="F41" s="7"/>
      <c r="G41" s="9"/>
      <c r="I41" s="10"/>
      <c r="N41" s="7"/>
      <c r="O41" s="9"/>
    </row>
    <row r="42" spans="1:15" x14ac:dyDescent="0.2">
      <c r="A42" s="10"/>
      <c r="F42" s="7"/>
      <c r="G42" s="9"/>
      <c r="I42" s="10"/>
      <c r="N42" s="7"/>
      <c r="O42" s="9"/>
    </row>
    <row r="43" spans="1:15" x14ac:dyDescent="0.2">
      <c r="A43" s="10"/>
      <c r="F43" s="7"/>
      <c r="G43" s="9"/>
      <c r="I43" s="10"/>
      <c r="N43" s="7"/>
      <c r="O43" s="9"/>
    </row>
    <row r="44" spans="1:15" x14ac:dyDescent="0.2">
      <c r="A44" s="10"/>
      <c r="F44" s="7"/>
      <c r="G44" s="9"/>
      <c r="I44" s="10"/>
      <c r="N44" s="7"/>
      <c r="O44" s="9"/>
    </row>
    <row r="45" spans="1:15" x14ac:dyDescent="0.2">
      <c r="A45" s="10"/>
      <c r="F45" s="7"/>
      <c r="G45" s="9"/>
      <c r="I45" s="10"/>
      <c r="N45" s="7"/>
      <c r="O45" s="9"/>
    </row>
    <row r="46" spans="1:15" x14ac:dyDescent="0.2">
      <c r="A46" s="10"/>
      <c r="F46" s="7"/>
      <c r="G46" s="9"/>
      <c r="I46" s="10"/>
      <c r="N46" s="7"/>
      <c r="O46" s="9"/>
    </row>
    <row r="47" spans="1:15" x14ac:dyDescent="0.2">
      <c r="A47" s="10"/>
      <c r="F47" s="7"/>
      <c r="G47" s="9"/>
      <c r="I47" s="10"/>
      <c r="N47" s="7"/>
      <c r="O47" s="9"/>
    </row>
    <row r="48" spans="1:15" x14ac:dyDescent="0.2">
      <c r="A48" s="10"/>
      <c r="F48" s="7"/>
      <c r="G48" s="9"/>
      <c r="I48" s="10"/>
      <c r="N48" s="7"/>
      <c r="O48" s="9"/>
    </row>
    <row r="49" spans="1:15" x14ac:dyDescent="0.2">
      <c r="A49" s="10"/>
      <c r="F49" s="7"/>
      <c r="G49" s="9"/>
      <c r="I49" s="10"/>
      <c r="N49" s="7"/>
      <c r="O49" s="9"/>
    </row>
    <row r="50" spans="1:15" x14ac:dyDescent="0.2">
      <c r="A50" s="10"/>
      <c r="F50" s="7"/>
      <c r="G50" s="9"/>
      <c r="I50" s="10"/>
      <c r="N50" s="7"/>
      <c r="O50" s="9"/>
    </row>
    <row r="51" spans="1:15" x14ac:dyDescent="0.2">
      <c r="A51" s="10"/>
      <c r="F51" s="7"/>
      <c r="G51" s="9"/>
      <c r="I51" s="10"/>
      <c r="N51" s="7"/>
      <c r="O51" s="9"/>
    </row>
    <row r="52" spans="1:15" x14ac:dyDescent="0.2">
      <c r="A52" s="10"/>
      <c r="F52" s="7"/>
      <c r="G52" s="9"/>
      <c r="I52" s="10"/>
      <c r="N52" s="7"/>
      <c r="O52" s="9"/>
    </row>
    <row r="53" spans="1:15" x14ac:dyDescent="0.2">
      <c r="A53" s="10"/>
      <c r="F53" s="7"/>
      <c r="G53" s="9"/>
      <c r="I53" s="10"/>
      <c r="N53" s="7"/>
      <c r="O53" s="9"/>
    </row>
    <row r="54" spans="1:15" x14ac:dyDescent="0.2">
      <c r="A54" s="10"/>
      <c r="F54" s="7"/>
      <c r="G54" s="9"/>
      <c r="I54" s="10"/>
      <c r="N54" s="7"/>
      <c r="O54" s="9"/>
    </row>
    <row r="55" spans="1:15" x14ac:dyDescent="0.2">
      <c r="A55" s="10"/>
      <c r="F55" s="7"/>
      <c r="G55" s="9"/>
      <c r="I55" s="10"/>
      <c r="N55" s="7"/>
      <c r="O55" s="9"/>
    </row>
    <row r="56" spans="1:15" x14ac:dyDescent="0.2">
      <c r="A56" s="10"/>
      <c r="F56" s="7"/>
      <c r="G56" s="9"/>
      <c r="I56" s="10"/>
      <c r="N56" s="7"/>
      <c r="O56" s="9"/>
    </row>
    <row r="57" spans="1:15" x14ac:dyDescent="0.2">
      <c r="A57" s="10"/>
      <c r="F57" s="7"/>
      <c r="G57" s="9"/>
      <c r="I57" s="10"/>
      <c r="N57" s="7"/>
      <c r="O57" s="9"/>
    </row>
    <row r="58" spans="1:15" x14ac:dyDescent="0.2">
      <c r="A58" s="10"/>
      <c r="F58" s="7"/>
      <c r="G58" s="9"/>
      <c r="I58" s="10"/>
      <c r="N58" s="7"/>
      <c r="O58" s="9"/>
    </row>
    <row r="59" spans="1:15" x14ac:dyDescent="0.2">
      <c r="A59" s="10"/>
      <c r="F59" s="7"/>
      <c r="G59" s="9"/>
      <c r="I59" s="10"/>
      <c r="N59" s="7"/>
      <c r="O59" s="9"/>
    </row>
    <row r="60" spans="1:15" x14ac:dyDescent="0.2">
      <c r="A60" s="10"/>
      <c r="F60" s="7"/>
      <c r="G60" s="9"/>
      <c r="I60" s="10"/>
      <c r="N60" s="7"/>
      <c r="O60" s="9"/>
    </row>
    <row r="61" spans="1:15" x14ac:dyDescent="0.2">
      <c r="A61" s="10"/>
      <c r="F61" s="7"/>
      <c r="G61" s="9"/>
      <c r="I61" s="10"/>
      <c r="N61" s="7"/>
      <c r="O61" s="9"/>
    </row>
    <row r="62" spans="1:15" x14ac:dyDescent="0.2">
      <c r="A62" s="10"/>
      <c r="F62" s="7"/>
      <c r="G62" s="9"/>
      <c r="I62" s="10"/>
      <c r="N62" s="7"/>
      <c r="O62" s="9"/>
    </row>
    <row r="63" spans="1:15" x14ac:dyDescent="0.2">
      <c r="A63" s="10"/>
      <c r="F63" s="7"/>
      <c r="G63" s="9"/>
      <c r="I63" s="10"/>
      <c r="N63" s="7"/>
      <c r="O63" s="9"/>
    </row>
    <row r="64" spans="1:15" x14ac:dyDescent="0.2">
      <c r="A64" s="10"/>
      <c r="F64" s="7"/>
      <c r="G64" s="9"/>
      <c r="I64" s="10"/>
      <c r="N64" s="7"/>
      <c r="O64" s="9"/>
    </row>
    <row r="65" spans="1:15" x14ac:dyDescent="0.2">
      <c r="A65" s="10"/>
      <c r="F65" s="7"/>
      <c r="G65" s="9"/>
      <c r="I65" s="10"/>
      <c r="N65" s="7"/>
      <c r="O65" s="9"/>
    </row>
    <row r="66" spans="1:15" x14ac:dyDescent="0.2">
      <c r="A66" s="10"/>
      <c r="F66" s="7"/>
      <c r="G66" s="9"/>
      <c r="I66" s="10"/>
      <c r="N66" s="7"/>
      <c r="O66" s="9"/>
    </row>
    <row r="67" spans="1:15" x14ac:dyDescent="0.2">
      <c r="A67" s="10"/>
      <c r="F67" s="7"/>
      <c r="G67" s="9"/>
      <c r="I67" s="10"/>
      <c r="N67" s="7"/>
      <c r="O67" s="9"/>
    </row>
    <row r="68" spans="1:15" x14ac:dyDescent="0.2">
      <c r="A68" s="10"/>
      <c r="F68" s="7"/>
      <c r="G68" s="9"/>
      <c r="I68" s="10"/>
      <c r="N68" s="7"/>
      <c r="O68" s="9"/>
    </row>
    <row r="69" spans="1:15" x14ac:dyDescent="0.2">
      <c r="A69" s="10"/>
      <c r="F69" s="7"/>
      <c r="G69" s="9"/>
      <c r="I69" s="10"/>
      <c r="N69" s="7"/>
      <c r="O69" s="9"/>
    </row>
    <row r="70" spans="1:15" x14ac:dyDescent="0.2">
      <c r="A70" s="10"/>
      <c r="F70" s="7"/>
      <c r="G70" s="9"/>
      <c r="I70" s="10"/>
      <c r="N70" s="7"/>
      <c r="O70" s="9"/>
    </row>
    <row r="71" spans="1:15" x14ac:dyDescent="0.2">
      <c r="A71" s="10"/>
      <c r="F71" s="7"/>
      <c r="G71" s="9"/>
      <c r="I71" s="10"/>
      <c r="N71" s="7"/>
      <c r="O71" s="9"/>
    </row>
    <row r="72" spans="1:15" x14ac:dyDescent="0.2">
      <c r="A72" s="10"/>
      <c r="F72" s="7"/>
      <c r="G72" s="9"/>
      <c r="I72" s="10"/>
      <c r="N72" s="7"/>
      <c r="O72" s="9"/>
    </row>
    <row r="73" spans="1:15" x14ac:dyDescent="0.2">
      <c r="A73" s="10"/>
      <c r="F73" s="7"/>
      <c r="G73" s="9"/>
      <c r="I73" s="10"/>
      <c r="N73" s="7"/>
      <c r="O73" s="9"/>
    </row>
    <row r="74" spans="1:15" x14ac:dyDescent="0.2">
      <c r="A74" s="10"/>
      <c r="F74" s="7"/>
      <c r="G74" s="9"/>
      <c r="I74" s="10"/>
      <c r="N74" s="7"/>
      <c r="O74" s="9"/>
    </row>
    <row r="75" spans="1:15" x14ac:dyDescent="0.2">
      <c r="A75" s="10"/>
      <c r="F75" s="7"/>
      <c r="G75" s="9"/>
      <c r="I75" s="10"/>
      <c r="N75" s="7"/>
      <c r="O75" s="9"/>
    </row>
    <row r="76" spans="1:15" x14ac:dyDescent="0.2">
      <c r="A76" s="10"/>
      <c r="F76" s="7"/>
      <c r="G76" s="9"/>
      <c r="I76" s="10"/>
      <c r="N76" s="7"/>
      <c r="O76" s="9"/>
    </row>
    <row r="77" spans="1:15" x14ac:dyDescent="0.2">
      <c r="A77" s="10"/>
      <c r="F77" s="7"/>
      <c r="G77" s="9"/>
      <c r="I77" s="10"/>
      <c r="N77" s="7"/>
      <c r="O77" s="9"/>
    </row>
    <row r="78" spans="1:15" x14ac:dyDescent="0.2">
      <c r="A78" s="10"/>
      <c r="F78" s="7"/>
      <c r="G78" s="9"/>
      <c r="I78" s="10"/>
      <c r="N78" s="7"/>
      <c r="O78" s="9"/>
    </row>
    <row r="79" spans="1:15" x14ac:dyDescent="0.2">
      <c r="A79" s="10"/>
      <c r="F79" s="7"/>
      <c r="G79" s="9"/>
      <c r="I79" s="10"/>
      <c r="N79" s="7"/>
      <c r="O79" s="9"/>
    </row>
    <row r="80" spans="1:15" x14ac:dyDescent="0.2">
      <c r="A80" s="10"/>
      <c r="F80" s="7"/>
      <c r="G80" s="9"/>
      <c r="I80" s="10"/>
      <c r="N80" s="7"/>
      <c r="O80" s="9"/>
    </row>
    <row r="81" spans="1:15" x14ac:dyDescent="0.2">
      <c r="A81" s="10"/>
      <c r="F81" s="7"/>
      <c r="G81" s="9"/>
      <c r="I81" s="10"/>
      <c r="N81" s="7"/>
      <c r="O81" s="9"/>
    </row>
    <row r="82" spans="1:15" x14ac:dyDescent="0.2">
      <c r="A82" s="10"/>
      <c r="F82" s="7"/>
      <c r="G82" s="9"/>
      <c r="I82" s="10"/>
      <c r="N82" s="7"/>
      <c r="O82" s="9"/>
    </row>
    <row r="83" spans="1:15" x14ac:dyDescent="0.2">
      <c r="A83" s="10"/>
      <c r="F83" s="7"/>
      <c r="G83" s="9"/>
      <c r="I83" s="10"/>
      <c r="N83" s="7"/>
      <c r="O83" s="9"/>
    </row>
    <row r="84" spans="1:15" x14ac:dyDescent="0.2">
      <c r="A84" s="10"/>
      <c r="F84" s="7"/>
      <c r="G84" s="9"/>
      <c r="I84" s="10"/>
      <c r="N84" s="7"/>
      <c r="O84" s="9"/>
    </row>
    <row r="85" spans="1:15" x14ac:dyDescent="0.2">
      <c r="A85" s="10"/>
      <c r="F85" s="7"/>
      <c r="G85" s="9"/>
      <c r="I85" s="10"/>
      <c r="N85" s="7"/>
      <c r="O85" s="9"/>
    </row>
    <row r="86" spans="1:15" x14ac:dyDescent="0.2">
      <c r="A86" s="10"/>
      <c r="F86" s="7"/>
      <c r="G86" s="9"/>
      <c r="I86" s="10"/>
      <c r="N86" s="7"/>
      <c r="O86" s="9"/>
    </row>
    <row r="87" spans="1:15" x14ac:dyDescent="0.2">
      <c r="A87" s="10"/>
      <c r="F87" s="7"/>
      <c r="G87" s="9"/>
      <c r="I87" s="10"/>
      <c r="N87" s="7"/>
      <c r="O87" s="9"/>
    </row>
    <row r="88" spans="1:15" x14ac:dyDescent="0.2">
      <c r="A88" s="10"/>
      <c r="F88" s="7"/>
      <c r="G88" s="9"/>
      <c r="I88" s="10"/>
      <c r="N88" s="7"/>
      <c r="O88" s="9"/>
    </row>
    <row r="89" spans="1:15" x14ac:dyDescent="0.2">
      <c r="A89" s="10"/>
      <c r="F89" s="7"/>
      <c r="G89" s="9"/>
      <c r="I89" s="10"/>
      <c r="N89" s="7"/>
      <c r="O89" s="9"/>
    </row>
    <row r="90" spans="1:15" x14ac:dyDescent="0.2">
      <c r="A90" s="10"/>
      <c r="F90" s="7"/>
      <c r="G90" s="9"/>
      <c r="I90" s="10"/>
      <c r="N90" s="7"/>
      <c r="O90" s="9"/>
    </row>
    <row r="91" spans="1:15" x14ac:dyDescent="0.2">
      <c r="A91" s="10"/>
      <c r="F91" s="7"/>
      <c r="G91" s="9"/>
      <c r="I91" s="10"/>
      <c r="N91" s="7"/>
      <c r="O91" s="9"/>
    </row>
    <row r="92" spans="1:15" x14ac:dyDescent="0.2">
      <c r="A92" s="10"/>
      <c r="F92" s="7"/>
      <c r="G92" s="9"/>
      <c r="I92" s="10"/>
      <c r="N92" s="7"/>
      <c r="O92" s="9"/>
    </row>
    <row r="93" spans="1:15" x14ac:dyDescent="0.2">
      <c r="A93" s="10"/>
      <c r="F93" s="7"/>
      <c r="G93" s="9"/>
      <c r="I93" s="10"/>
      <c r="N93" s="7"/>
      <c r="O93" s="9"/>
    </row>
    <row r="94" spans="1:15" x14ac:dyDescent="0.2">
      <c r="A94" s="10"/>
      <c r="F94" s="7"/>
      <c r="G94" s="9"/>
      <c r="I94" s="10"/>
      <c r="N94" s="7"/>
      <c r="O94" s="9"/>
    </row>
    <row r="95" spans="1:15" x14ac:dyDescent="0.2">
      <c r="A95" s="10"/>
      <c r="F95" s="7"/>
      <c r="G95" s="9"/>
      <c r="I95" s="10"/>
      <c r="N95" s="7"/>
      <c r="O95" s="9"/>
    </row>
    <row r="96" spans="1:15" x14ac:dyDescent="0.2">
      <c r="A96" s="10"/>
      <c r="F96" s="7"/>
      <c r="G96" s="9"/>
      <c r="I96" s="10"/>
      <c r="N96" s="7"/>
      <c r="O96" s="9"/>
    </row>
    <row r="97" spans="1:15" x14ac:dyDescent="0.2">
      <c r="A97" s="10"/>
      <c r="F97" s="7"/>
      <c r="G97" s="9"/>
      <c r="I97" s="10"/>
      <c r="N97" s="7"/>
      <c r="O97" s="9"/>
    </row>
    <row r="98" spans="1:15" x14ac:dyDescent="0.2">
      <c r="A98" s="10"/>
      <c r="F98" s="7"/>
      <c r="G98" s="9"/>
      <c r="I98" s="10"/>
      <c r="N98" s="7"/>
      <c r="O98" s="9"/>
    </row>
    <row r="99" spans="1:15" x14ac:dyDescent="0.2">
      <c r="A99" s="10"/>
      <c r="F99" s="7"/>
      <c r="G99" s="9"/>
      <c r="I99" s="10"/>
      <c r="N99" s="7"/>
      <c r="O99" s="9"/>
    </row>
    <row r="100" spans="1:15" x14ac:dyDescent="0.2">
      <c r="A100" s="10"/>
      <c r="F100" s="7"/>
      <c r="G100" s="9"/>
      <c r="I100" s="10"/>
      <c r="N100" s="7"/>
      <c r="O100" s="9"/>
    </row>
    <row r="101" spans="1:15" x14ac:dyDescent="0.2">
      <c r="A101" s="10"/>
      <c r="F101" s="7"/>
      <c r="G101" s="9"/>
      <c r="I101" s="10"/>
      <c r="N101" s="7"/>
      <c r="O101" s="9"/>
    </row>
    <row r="102" spans="1:15" x14ac:dyDescent="0.2">
      <c r="A102" s="10"/>
      <c r="F102" s="7"/>
      <c r="G102" s="9"/>
      <c r="I102" s="10"/>
      <c r="N102" s="7"/>
      <c r="O102" s="9"/>
    </row>
    <row r="103" spans="1:15" x14ac:dyDescent="0.2">
      <c r="A103" s="10"/>
      <c r="F103" s="7"/>
      <c r="G103" s="9"/>
      <c r="I103" s="10"/>
      <c r="N103" s="7"/>
      <c r="O103" s="9"/>
    </row>
    <row r="104" spans="1:15" x14ac:dyDescent="0.2">
      <c r="A104" s="10"/>
      <c r="F104" s="7"/>
      <c r="G104" s="9"/>
      <c r="I104" s="10"/>
      <c r="N104" s="7"/>
      <c r="O104" s="9"/>
    </row>
    <row r="105" spans="1:15" x14ac:dyDescent="0.2">
      <c r="A105" s="10"/>
      <c r="F105" s="7"/>
      <c r="G105" s="9"/>
      <c r="I105" s="10"/>
      <c r="N105" s="7"/>
      <c r="O105" s="9"/>
    </row>
    <row r="106" spans="1:15" x14ac:dyDescent="0.2">
      <c r="A106" s="10"/>
      <c r="F106" s="7"/>
      <c r="G106" s="9"/>
      <c r="I106" s="10"/>
      <c r="N106" s="7"/>
      <c r="O106" s="9"/>
    </row>
    <row r="107" spans="1:15" x14ac:dyDescent="0.2">
      <c r="A107" s="10"/>
      <c r="F107" s="7"/>
      <c r="G107" s="9"/>
      <c r="I107" s="10"/>
      <c r="N107" s="7"/>
      <c r="O107" s="9"/>
    </row>
    <row r="108" spans="1:15" x14ac:dyDescent="0.2">
      <c r="A108" s="10"/>
      <c r="F108" s="7"/>
      <c r="G108" s="9"/>
      <c r="I108" s="10"/>
      <c r="N108" s="7"/>
      <c r="O108" s="9"/>
    </row>
    <row r="109" spans="1:15" x14ac:dyDescent="0.2">
      <c r="A109" s="10"/>
      <c r="F109" s="7"/>
      <c r="G109" s="9"/>
      <c r="I109" s="10"/>
      <c r="N109" s="7"/>
      <c r="O109" s="9"/>
    </row>
    <row r="110" spans="1:15" x14ac:dyDescent="0.2">
      <c r="A110" s="10"/>
      <c r="F110" s="7"/>
      <c r="G110" s="9"/>
      <c r="I110" s="10"/>
      <c r="N110" s="7"/>
      <c r="O110" s="9"/>
    </row>
    <row r="111" spans="1:15" x14ac:dyDescent="0.2">
      <c r="A111" s="10"/>
      <c r="F111" s="7"/>
      <c r="G111" s="9"/>
      <c r="I111" s="10"/>
      <c r="N111" s="7"/>
      <c r="O111" s="9"/>
    </row>
    <row r="112" spans="1:15" x14ac:dyDescent="0.2">
      <c r="A112" s="10"/>
      <c r="F112" s="7"/>
      <c r="G112" s="9"/>
      <c r="I112" s="10"/>
      <c r="N112" s="7"/>
      <c r="O112" s="9"/>
    </row>
    <row r="113" spans="1:15" x14ac:dyDescent="0.2">
      <c r="A113" s="10"/>
      <c r="F113" s="7"/>
      <c r="G113" s="9"/>
      <c r="I113" s="10"/>
      <c r="N113" s="7"/>
      <c r="O113" s="9"/>
    </row>
    <row r="114" spans="1:15" x14ac:dyDescent="0.2">
      <c r="A114" s="10"/>
      <c r="F114" s="7"/>
      <c r="G114" s="9"/>
      <c r="I114" s="10"/>
      <c r="N114" s="7"/>
      <c r="O114" s="9"/>
    </row>
    <row r="115" spans="1:15" x14ac:dyDescent="0.2">
      <c r="A115" s="10"/>
      <c r="F115" s="7"/>
      <c r="G115" s="9"/>
      <c r="I115" s="10"/>
      <c r="N115" s="7"/>
      <c r="O115" s="9"/>
    </row>
    <row r="116" spans="1:15" x14ac:dyDescent="0.2">
      <c r="A116" s="10"/>
      <c r="F116" s="7"/>
      <c r="G116" s="9"/>
      <c r="I116" s="10"/>
      <c r="N116" s="7"/>
      <c r="O116" s="9"/>
    </row>
    <row r="117" spans="1:15" x14ac:dyDescent="0.2">
      <c r="A117" s="10"/>
      <c r="F117" s="7"/>
      <c r="G117" s="9"/>
      <c r="I117" s="10"/>
      <c r="N117" s="7"/>
      <c r="O117" s="9"/>
    </row>
    <row r="118" spans="1:15" x14ac:dyDescent="0.2">
      <c r="A118" s="10"/>
      <c r="F118" s="7"/>
      <c r="G118" s="9"/>
      <c r="I118" s="10"/>
      <c r="N118" s="7"/>
      <c r="O118" s="9"/>
    </row>
    <row r="119" spans="1:15" x14ac:dyDescent="0.2">
      <c r="A119" s="10"/>
      <c r="F119" s="7"/>
      <c r="G119" s="9"/>
      <c r="I119" s="10"/>
      <c r="N119" s="7"/>
      <c r="O119" s="9"/>
    </row>
    <row r="120" spans="1:15" x14ac:dyDescent="0.2">
      <c r="A120" s="10"/>
      <c r="F120" s="7"/>
      <c r="G120" s="9"/>
      <c r="I120" s="10"/>
      <c r="N120" s="7"/>
      <c r="O120" s="9"/>
    </row>
    <row r="121" spans="1:15" x14ac:dyDescent="0.2">
      <c r="A121" s="10"/>
      <c r="F121" s="7"/>
      <c r="G121" s="9"/>
      <c r="I121" s="10"/>
      <c r="N121" s="7"/>
      <c r="O121" s="9"/>
    </row>
    <row r="122" spans="1:15" x14ac:dyDescent="0.2">
      <c r="A122" s="10"/>
      <c r="F122" s="7"/>
      <c r="G122" s="9"/>
      <c r="I122" s="10"/>
      <c r="N122" s="7"/>
      <c r="O122" s="9"/>
    </row>
    <row r="123" spans="1:15" x14ac:dyDescent="0.2">
      <c r="A123" s="10"/>
      <c r="F123" s="7"/>
      <c r="G123" s="9"/>
      <c r="I123" s="10"/>
      <c r="N123" s="7"/>
      <c r="O123" s="9"/>
    </row>
    <row r="124" spans="1:15" x14ac:dyDescent="0.2">
      <c r="A124" s="10"/>
      <c r="F124" s="7"/>
      <c r="G124" s="9"/>
      <c r="I124" s="10"/>
      <c r="N124" s="7"/>
      <c r="O124" s="9"/>
    </row>
    <row r="125" spans="1:15" x14ac:dyDescent="0.2">
      <c r="A125" s="10"/>
      <c r="F125" s="7"/>
      <c r="G125" s="9"/>
      <c r="I125" s="10"/>
      <c r="N125" s="7"/>
      <c r="O125" s="9"/>
    </row>
    <row r="126" spans="1:15" x14ac:dyDescent="0.2">
      <c r="A126" s="10"/>
      <c r="F126" s="7"/>
      <c r="G126" s="9"/>
      <c r="I126" s="10"/>
      <c r="N126" s="7"/>
      <c r="O126" s="9"/>
    </row>
    <row r="127" spans="1:15" x14ac:dyDescent="0.2">
      <c r="A127" s="10"/>
      <c r="F127" s="7"/>
      <c r="G127" s="9"/>
      <c r="I127" s="10"/>
      <c r="N127" s="7"/>
      <c r="O127" s="9"/>
    </row>
    <row r="128" spans="1:15" x14ac:dyDescent="0.2">
      <c r="A128" s="10"/>
      <c r="F128" s="7"/>
      <c r="G128" s="9"/>
      <c r="I128" s="10"/>
      <c r="N128" s="7"/>
      <c r="O128" s="9"/>
    </row>
    <row r="129" spans="1:15" x14ac:dyDescent="0.2">
      <c r="A129" s="10"/>
      <c r="F129" s="7"/>
      <c r="G129" s="9"/>
      <c r="I129" s="10"/>
      <c r="N129" s="7"/>
      <c r="O129" s="9"/>
    </row>
    <row r="130" spans="1:15" x14ac:dyDescent="0.2">
      <c r="A130" s="10"/>
      <c r="F130" s="7"/>
      <c r="G130" s="9"/>
      <c r="I130" s="10"/>
      <c r="N130" s="7"/>
      <c r="O130" s="9"/>
    </row>
    <row r="131" spans="1:15" x14ac:dyDescent="0.2">
      <c r="A131" s="10"/>
      <c r="F131" s="7"/>
      <c r="G131" s="9"/>
      <c r="I131" s="10"/>
      <c r="N131" s="7"/>
      <c r="O131" s="9"/>
    </row>
    <row r="132" spans="1:15" x14ac:dyDescent="0.2">
      <c r="A132" s="10"/>
      <c r="F132" s="7"/>
      <c r="G132" s="9"/>
      <c r="I132" s="10"/>
      <c r="N132" s="7"/>
      <c r="O132" s="9"/>
    </row>
    <row r="133" spans="1:15" x14ac:dyDescent="0.2">
      <c r="A133" s="10"/>
      <c r="F133" s="7"/>
      <c r="G133" s="9"/>
      <c r="I133" s="10"/>
      <c r="N133" s="7"/>
      <c r="O133" s="9"/>
    </row>
    <row r="134" spans="1:15" x14ac:dyDescent="0.2">
      <c r="A134" s="10"/>
      <c r="F134" s="7"/>
      <c r="G134" s="9"/>
      <c r="I134" s="10"/>
      <c r="N134" s="7"/>
      <c r="O134" s="9"/>
    </row>
    <row r="135" spans="1:15" x14ac:dyDescent="0.2">
      <c r="A135" s="10"/>
      <c r="F135" s="7"/>
      <c r="G135" s="9"/>
      <c r="I135" s="10"/>
      <c r="N135" s="7"/>
      <c r="O135" s="9"/>
    </row>
    <row r="136" spans="1:15" x14ac:dyDescent="0.2">
      <c r="A136" s="10"/>
      <c r="F136" s="7"/>
      <c r="G136" s="9"/>
      <c r="I136" s="10"/>
      <c r="N136" s="7"/>
      <c r="O136" s="9"/>
    </row>
    <row r="137" spans="1:15" x14ac:dyDescent="0.2">
      <c r="A137" s="10"/>
      <c r="F137" s="7"/>
      <c r="G137" s="9"/>
      <c r="I137" s="10"/>
      <c r="N137" s="7"/>
      <c r="O137" s="9"/>
    </row>
    <row r="138" spans="1:15" x14ac:dyDescent="0.2">
      <c r="A138" s="10"/>
      <c r="F138" s="7"/>
      <c r="G138" s="9"/>
      <c r="I138" s="10"/>
      <c r="N138" s="7"/>
      <c r="O138" s="9"/>
    </row>
    <row r="139" spans="1:15" x14ac:dyDescent="0.2">
      <c r="A139" s="10"/>
      <c r="F139" s="7"/>
      <c r="G139" s="9"/>
      <c r="I139" s="10"/>
      <c r="N139" s="7"/>
      <c r="O139" s="9"/>
    </row>
    <row r="140" spans="1:15" x14ac:dyDescent="0.2">
      <c r="A140" s="10"/>
      <c r="F140" s="7"/>
      <c r="G140" s="9"/>
      <c r="I140" s="10"/>
      <c r="N140" s="7"/>
      <c r="O140" s="9"/>
    </row>
    <row r="141" spans="1:15" x14ac:dyDescent="0.2">
      <c r="A141" s="10"/>
      <c r="F141" s="7"/>
      <c r="G141" s="9"/>
      <c r="I141" s="10"/>
      <c r="N141" s="7"/>
      <c r="O141" s="9"/>
    </row>
    <row r="142" spans="1:15" x14ac:dyDescent="0.2">
      <c r="A142" s="10"/>
      <c r="F142" s="7"/>
      <c r="G142" s="9"/>
      <c r="I142" s="10"/>
      <c r="N142" s="7"/>
      <c r="O142" s="9"/>
    </row>
    <row r="143" spans="1:15" x14ac:dyDescent="0.2">
      <c r="A143" s="10"/>
      <c r="F143" s="7"/>
      <c r="G143" s="9"/>
      <c r="I143" s="10"/>
      <c r="N143" s="7"/>
      <c r="O143" s="9"/>
    </row>
    <row r="144" spans="1:15" x14ac:dyDescent="0.2">
      <c r="A144" s="10"/>
      <c r="F144" s="7"/>
      <c r="G144" s="9"/>
      <c r="I144" s="10"/>
      <c r="N144" s="7"/>
      <c r="O144" s="9"/>
    </row>
    <row r="145" spans="1:15" x14ac:dyDescent="0.2">
      <c r="A145" s="10"/>
      <c r="F145" s="7"/>
      <c r="G145" s="9"/>
      <c r="I145" s="10"/>
      <c r="N145" s="7"/>
      <c r="O145" s="9"/>
    </row>
    <row r="146" spans="1:15" x14ac:dyDescent="0.2">
      <c r="A146" s="10"/>
      <c r="F146" s="7"/>
      <c r="G146" s="9"/>
      <c r="I146" s="10"/>
      <c r="N146" s="7"/>
      <c r="O146" s="9"/>
    </row>
    <row r="147" spans="1:15" x14ac:dyDescent="0.2">
      <c r="A147" s="10"/>
      <c r="F147" s="7"/>
      <c r="G147" s="9"/>
      <c r="I147" s="10"/>
      <c r="N147" s="7"/>
      <c r="O147" s="9"/>
    </row>
    <row r="148" spans="1:15" x14ac:dyDescent="0.2">
      <c r="A148" s="10"/>
      <c r="F148" s="7"/>
      <c r="G148" s="9"/>
      <c r="I148" s="10"/>
      <c r="N148" s="7"/>
      <c r="O148" s="9"/>
    </row>
    <row r="149" spans="1:15" x14ac:dyDescent="0.2">
      <c r="A149" s="10"/>
      <c r="F149" s="7"/>
      <c r="G149" s="9"/>
      <c r="I149" s="10"/>
      <c r="N149" s="7"/>
      <c r="O149" s="9"/>
    </row>
    <row r="150" spans="1:15" x14ac:dyDescent="0.2">
      <c r="A150" s="10"/>
      <c r="F150" s="7"/>
      <c r="G150" s="9"/>
      <c r="I150" s="10"/>
      <c r="N150" s="7"/>
      <c r="O150" s="9"/>
    </row>
    <row r="151" spans="1:15" x14ac:dyDescent="0.2">
      <c r="A151" s="10"/>
      <c r="F151" s="7"/>
      <c r="G151" s="9"/>
      <c r="I151" s="10"/>
      <c r="N151" s="7"/>
      <c r="O151" s="9"/>
    </row>
    <row r="152" spans="1:15" x14ac:dyDescent="0.2">
      <c r="A152" s="10"/>
      <c r="F152" s="7"/>
      <c r="G152" s="9"/>
      <c r="I152" s="10"/>
      <c r="N152" s="7"/>
      <c r="O152" s="9"/>
    </row>
    <row r="153" spans="1:15" x14ac:dyDescent="0.2">
      <c r="A153" s="10"/>
      <c r="F153" s="7"/>
      <c r="G153" s="9"/>
      <c r="I153" s="10"/>
      <c r="N153" s="7"/>
      <c r="O153" s="9"/>
    </row>
    <row r="154" spans="1:15" x14ac:dyDescent="0.2">
      <c r="A154" s="10"/>
      <c r="F154" s="7"/>
      <c r="G154" s="9"/>
      <c r="I154" s="10"/>
      <c r="N154" s="7"/>
      <c r="O154" s="9"/>
    </row>
    <row r="155" spans="1:15" x14ac:dyDescent="0.2">
      <c r="A155" s="10"/>
      <c r="F155" s="7"/>
      <c r="G155" s="9"/>
      <c r="I155" s="10"/>
      <c r="N155" s="7"/>
      <c r="O155" s="9"/>
    </row>
    <row r="156" spans="1:15" x14ac:dyDescent="0.2">
      <c r="A156" s="10"/>
      <c r="F156" s="7"/>
      <c r="G156" s="9"/>
      <c r="I156" s="10"/>
      <c r="N156" s="7"/>
      <c r="O156" s="9"/>
    </row>
    <row r="157" spans="1:15" x14ac:dyDescent="0.2">
      <c r="A157" s="10"/>
      <c r="F157" s="7"/>
      <c r="G157" s="9"/>
      <c r="I157" s="10"/>
      <c r="N157" s="7"/>
      <c r="O157" s="9"/>
    </row>
    <row r="158" spans="1:15" x14ac:dyDescent="0.2">
      <c r="A158" s="10"/>
      <c r="F158" s="7"/>
      <c r="G158" s="9"/>
      <c r="I158" s="10"/>
      <c r="N158" s="7"/>
      <c r="O158" s="9"/>
    </row>
    <row r="159" spans="1:15" x14ac:dyDescent="0.2">
      <c r="A159" s="10"/>
      <c r="F159" s="7"/>
      <c r="G159" s="9"/>
      <c r="I159" s="10"/>
      <c r="N159" s="7"/>
      <c r="O159" s="9"/>
    </row>
    <row r="160" spans="1:15" x14ac:dyDescent="0.2">
      <c r="A160" s="10"/>
      <c r="F160" s="7"/>
      <c r="G160" s="9"/>
      <c r="I160" s="10"/>
      <c r="N160" s="7"/>
      <c r="O160" s="9"/>
    </row>
    <row r="161" spans="1:15" x14ac:dyDescent="0.2">
      <c r="A161" s="10"/>
      <c r="F161" s="7"/>
      <c r="G161" s="9"/>
      <c r="I161" s="10"/>
      <c r="N161" s="7"/>
      <c r="O161" s="9"/>
    </row>
    <row r="162" spans="1:15" x14ac:dyDescent="0.2">
      <c r="A162" s="10"/>
      <c r="F162" s="7"/>
      <c r="G162" s="9"/>
      <c r="I162" s="10"/>
      <c r="N162" s="7"/>
      <c r="O162" s="9"/>
    </row>
    <row r="163" spans="1:15" x14ac:dyDescent="0.2">
      <c r="A163" s="10"/>
      <c r="F163" s="7"/>
      <c r="G163" s="9"/>
      <c r="I163" s="10"/>
      <c r="N163" s="7"/>
      <c r="O163" s="9"/>
    </row>
    <row r="164" spans="1:15" x14ac:dyDescent="0.2">
      <c r="A164" s="10"/>
      <c r="F164" s="7"/>
      <c r="G164" s="9"/>
      <c r="I164" s="10"/>
      <c r="N164" s="7"/>
      <c r="O164" s="9"/>
    </row>
    <row r="165" spans="1:15" x14ac:dyDescent="0.2">
      <c r="A165" s="10"/>
      <c r="F165" s="7"/>
      <c r="G165" s="9"/>
      <c r="I165" s="10"/>
      <c r="N165" s="7"/>
      <c r="O165" s="9"/>
    </row>
    <row r="166" spans="1:15" x14ac:dyDescent="0.2">
      <c r="A166" s="10"/>
      <c r="F166" s="7"/>
      <c r="G166" s="9"/>
      <c r="I166" s="10"/>
      <c r="N166" s="7"/>
      <c r="O166" s="9"/>
    </row>
    <row r="167" spans="1:15" x14ac:dyDescent="0.2">
      <c r="A167" s="10"/>
      <c r="F167" s="7"/>
      <c r="G167" s="9"/>
      <c r="I167" s="10"/>
      <c r="N167" s="7"/>
      <c r="O167" s="9"/>
    </row>
    <row r="168" spans="1:15" x14ac:dyDescent="0.2">
      <c r="A168" s="10"/>
      <c r="F168" s="7"/>
      <c r="G168" s="9"/>
      <c r="I168" s="10"/>
      <c r="N168" s="7"/>
      <c r="O168" s="9"/>
    </row>
    <row r="169" spans="1:15" x14ac:dyDescent="0.2">
      <c r="A169" s="10"/>
      <c r="F169" s="7"/>
      <c r="G169" s="9"/>
      <c r="I169" s="10"/>
      <c r="N169" s="7"/>
      <c r="O169" s="9"/>
    </row>
    <row r="170" spans="1:15" x14ac:dyDescent="0.2">
      <c r="A170" s="10"/>
      <c r="F170" s="7"/>
      <c r="G170" s="9"/>
      <c r="I170" s="10"/>
      <c r="N170" s="7"/>
      <c r="O170" s="9"/>
    </row>
    <row r="171" spans="1:15" x14ac:dyDescent="0.2">
      <c r="A171" s="10"/>
      <c r="F171" s="7"/>
      <c r="G171" s="9"/>
      <c r="I171" s="10"/>
      <c r="N171" s="7"/>
      <c r="O171" s="9"/>
    </row>
    <row r="172" spans="1:15" x14ac:dyDescent="0.2">
      <c r="A172" s="10"/>
      <c r="F172" s="7"/>
      <c r="G172" s="9"/>
      <c r="I172" s="10"/>
      <c r="N172" s="7"/>
      <c r="O172" s="9"/>
    </row>
    <row r="173" spans="1:15" x14ac:dyDescent="0.2">
      <c r="A173" s="10"/>
      <c r="F173" s="7"/>
      <c r="G173" s="9"/>
      <c r="I173" s="10"/>
      <c r="N173" s="7"/>
      <c r="O173" s="9"/>
    </row>
    <row r="174" spans="1:15" x14ac:dyDescent="0.2">
      <c r="A174" s="10"/>
      <c r="F174" s="7"/>
      <c r="G174" s="9"/>
      <c r="I174" s="10"/>
      <c r="N174" s="7"/>
      <c r="O174" s="9"/>
    </row>
    <row r="175" spans="1:15" x14ac:dyDescent="0.2">
      <c r="A175" s="10"/>
      <c r="F175" s="7"/>
      <c r="G175" s="9"/>
      <c r="I175" s="10"/>
      <c r="N175" s="7"/>
      <c r="O175" s="9"/>
    </row>
    <row r="176" spans="1:15" x14ac:dyDescent="0.2">
      <c r="A176" s="10"/>
      <c r="F176" s="7"/>
      <c r="G176" s="9"/>
      <c r="I176" s="10"/>
      <c r="N176" s="7"/>
      <c r="O176" s="9"/>
    </row>
    <row r="177" spans="1:15" x14ac:dyDescent="0.2">
      <c r="A177" s="10"/>
      <c r="F177" s="7"/>
      <c r="G177" s="9"/>
      <c r="I177" s="10"/>
      <c r="N177" s="7"/>
      <c r="O177" s="9"/>
    </row>
    <row r="178" spans="1:15" x14ac:dyDescent="0.2">
      <c r="A178" s="10"/>
      <c r="F178" s="7"/>
      <c r="G178" s="9"/>
      <c r="I178" s="10"/>
      <c r="N178" s="7"/>
      <c r="O178" s="9"/>
    </row>
    <row r="179" spans="1:15" x14ac:dyDescent="0.2">
      <c r="A179" s="10"/>
      <c r="F179" s="7"/>
      <c r="G179" s="9"/>
      <c r="I179" s="10"/>
      <c r="N179" s="7"/>
      <c r="O179" s="9"/>
    </row>
    <row r="180" spans="1:15" x14ac:dyDescent="0.2">
      <c r="A180" s="10"/>
      <c r="F180" s="7"/>
      <c r="G180" s="9"/>
      <c r="I180" s="10"/>
      <c r="N180" s="7"/>
      <c r="O180" s="9"/>
    </row>
    <row r="181" spans="1:15" x14ac:dyDescent="0.2">
      <c r="A181" s="10"/>
      <c r="F181" s="7"/>
      <c r="G181" s="9"/>
      <c r="I181" s="10"/>
      <c r="N181" s="7"/>
      <c r="O181" s="9"/>
    </row>
    <row r="182" spans="1:15" x14ac:dyDescent="0.2">
      <c r="A182" s="10"/>
      <c r="F182" s="7"/>
      <c r="G182" s="9"/>
      <c r="I182" s="10"/>
      <c r="N182" s="7"/>
      <c r="O182" s="9"/>
    </row>
    <row r="183" spans="1:15" x14ac:dyDescent="0.2">
      <c r="A183" s="10"/>
      <c r="F183" s="7"/>
      <c r="G183" s="9"/>
      <c r="I183" s="10"/>
      <c r="N183" s="7"/>
      <c r="O183" s="9"/>
    </row>
    <row r="184" spans="1:15" x14ac:dyDescent="0.2">
      <c r="A184" s="10"/>
      <c r="F184" s="7"/>
      <c r="G184" s="9"/>
      <c r="I184" s="10"/>
      <c r="N184" s="7"/>
      <c r="O184" s="9"/>
    </row>
    <row r="185" spans="1:15" x14ac:dyDescent="0.2">
      <c r="A185" s="10"/>
      <c r="F185" s="7"/>
      <c r="G185" s="9"/>
      <c r="I185" s="10"/>
      <c r="N185" s="7"/>
      <c r="O185" s="9"/>
    </row>
    <row r="186" spans="1:15" x14ac:dyDescent="0.2">
      <c r="A186" s="10"/>
      <c r="F186" s="7"/>
      <c r="G186" s="9"/>
      <c r="I186" s="10"/>
      <c r="N186" s="7"/>
      <c r="O186" s="9"/>
    </row>
    <row r="187" spans="1:15" x14ac:dyDescent="0.2">
      <c r="A187" s="10"/>
      <c r="F187" s="7"/>
      <c r="G187" s="9"/>
      <c r="I187" s="10"/>
      <c r="N187" s="7"/>
      <c r="O187" s="9"/>
    </row>
    <row r="188" spans="1:15" x14ac:dyDescent="0.2">
      <c r="A188" s="10"/>
      <c r="F188" s="7"/>
      <c r="G188" s="9"/>
      <c r="I188" s="10"/>
      <c r="N188" s="7"/>
      <c r="O188" s="9"/>
    </row>
    <row r="189" spans="1:15" x14ac:dyDescent="0.2">
      <c r="A189" s="10"/>
      <c r="F189" s="7"/>
      <c r="G189" s="9"/>
      <c r="I189" s="10"/>
      <c r="N189" s="7"/>
      <c r="O189" s="9"/>
    </row>
    <row r="190" spans="1:15" x14ac:dyDescent="0.2">
      <c r="A190" s="10"/>
      <c r="F190" s="7"/>
      <c r="G190" s="9"/>
      <c r="I190" s="10"/>
      <c r="N190" s="7"/>
      <c r="O190" s="9"/>
    </row>
    <row r="191" spans="1:15" x14ac:dyDescent="0.2">
      <c r="A191" s="10"/>
      <c r="F191" s="7"/>
      <c r="G191" s="9"/>
      <c r="I191" s="10"/>
      <c r="N191" s="7"/>
      <c r="O191" s="9"/>
    </row>
    <row r="192" spans="1:15" x14ac:dyDescent="0.2">
      <c r="A192" s="10"/>
      <c r="F192" s="7"/>
      <c r="G192" s="9"/>
      <c r="I192" s="10"/>
      <c r="N192" s="7"/>
      <c r="O192" s="9"/>
    </row>
    <row r="193" spans="1:15" x14ac:dyDescent="0.2">
      <c r="A193" s="10"/>
      <c r="F193" s="7"/>
      <c r="G193" s="9"/>
      <c r="I193" s="10"/>
      <c r="N193" s="7"/>
      <c r="O193" s="9"/>
    </row>
    <row r="194" spans="1:15" x14ac:dyDescent="0.2">
      <c r="A194" s="10"/>
      <c r="F194" s="7"/>
      <c r="G194" s="9"/>
      <c r="I194" s="10"/>
      <c r="N194" s="7"/>
      <c r="O194" s="9"/>
    </row>
    <row r="195" spans="1:15" x14ac:dyDescent="0.2">
      <c r="A195" s="10"/>
      <c r="F195" s="7"/>
      <c r="G195" s="9"/>
      <c r="I195" s="10"/>
      <c r="N195" s="7"/>
      <c r="O195" s="9"/>
    </row>
    <row r="196" spans="1:15" x14ac:dyDescent="0.2">
      <c r="A196" s="10"/>
      <c r="F196" s="7"/>
      <c r="G196" s="9"/>
      <c r="I196" s="10"/>
      <c r="N196" s="7"/>
      <c r="O196" s="9"/>
    </row>
    <row r="197" spans="1:15" x14ac:dyDescent="0.2">
      <c r="A197" s="10"/>
      <c r="F197" s="7"/>
      <c r="G197" s="9"/>
      <c r="I197" s="10"/>
      <c r="N197" s="7"/>
      <c r="O197" s="9"/>
    </row>
    <row r="198" spans="1:15" x14ac:dyDescent="0.2">
      <c r="A198" s="10"/>
      <c r="F198" s="7"/>
      <c r="G198" s="9"/>
      <c r="I198" s="10"/>
      <c r="N198" s="7"/>
      <c r="O198" s="9"/>
    </row>
    <row r="199" spans="1:15" x14ac:dyDescent="0.2">
      <c r="A199" s="10"/>
      <c r="F199" s="7"/>
      <c r="G199" s="9"/>
      <c r="I199" s="10"/>
      <c r="N199" s="7"/>
      <c r="O199" s="9"/>
    </row>
    <row r="200" spans="1:15" x14ac:dyDescent="0.2">
      <c r="A200" s="10"/>
      <c r="F200" s="7"/>
      <c r="G200" s="9"/>
      <c r="I200" s="10"/>
      <c r="N200" s="7"/>
      <c r="O200" s="9"/>
    </row>
    <row r="201" spans="1:15" x14ac:dyDescent="0.2">
      <c r="A201" s="10"/>
      <c r="F201" s="7"/>
      <c r="G201" s="9"/>
      <c r="I201" s="10"/>
      <c r="N201" s="7"/>
      <c r="O201" s="9"/>
    </row>
    <row r="202" spans="1:15" x14ac:dyDescent="0.2">
      <c r="A202" s="10"/>
      <c r="F202" s="7"/>
      <c r="G202" s="9"/>
      <c r="I202" s="10"/>
      <c r="N202" s="7"/>
      <c r="O202" s="9"/>
    </row>
    <row r="203" spans="1:15" x14ac:dyDescent="0.2">
      <c r="A203" s="10"/>
      <c r="F203" s="7"/>
      <c r="G203" s="9"/>
      <c r="I203" s="10"/>
      <c r="N203" s="7"/>
      <c r="O203" s="9"/>
    </row>
    <row r="204" spans="1:15" x14ac:dyDescent="0.2">
      <c r="A204" s="10"/>
      <c r="F204" s="7"/>
      <c r="G204" s="9"/>
      <c r="I204" s="10"/>
      <c r="N204" s="7"/>
      <c r="O204" s="9"/>
    </row>
    <row r="205" spans="1:15" x14ac:dyDescent="0.2">
      <c r="A205" s="10"/>
      <c r="F205" s="7"/>
      <c r="G205" s="9"/>
      <c r="I205" s="10"/>
      <c r="N205" s="7"/>
      <c r="O205" s="9"/>
    </row>
    <row r="206" spans="1:15" x14ac:dyDescent="0.2">
      <c r="A206" s="10"/>
      <c r="F206" s="7"/>
      <c r="G206" s="9"/>
      <c r="I206" s="10"/>
      <c r="N206" s="7"/>
      <c r="O206" s="9"/>
    </row>
    <row r="207" spans="1:15" x14ac:dyDescent="0.2">
      <c r="A207" s="10"/>
      <c r="F207" s="7"/>
      <c r="G207" s="9"/>
      <c r="I207" s="10"/>
      <c r="N207" s="7"/>
      <c r="O207" s="9"/>
    </row>
    <row r="208" spans="1:15" x14ac:dyDescent="0.2">
      <c r="A208" s="10"/>
      <c r="F208" s="7"/>
      <c r="G208" s="9"/>
      <c r="I208" s="10"/>
      <c r="N208" s="7"/>
      <c r="O208" s="9"/>
    </row>
    <row r="209" spans="1:15" x14ac:dyDescent="0.2">
      <c r="A209" s="10"/>
      <c r="F209" s="7"/>
      <c r="G209" s="9"/>
      <c r="I209" s="10"/>
      <c r="N209" s="7"/>
      <c r="O209" s="9"/>
    </row>
    <row r="210" spans="1:15" x14ac:dyDescent="0.2">
      <c r="A210" s="10"/>
      <c r="F210" s="7"/>
      <c r="G210" s="9"/>
      <c r="I210" s="10"/>
      <c r="N210" s="7"/>
      <c r="O210" s="9"/>
    </row>
    <row r="211" spans="1:15" x14ac:dyDescent="0.2">
      <c r="A211" s="10"/>
      <c r="F211" s="7"/>
      <c r="G211" s="9"/>
      <c r="I211" s="10"/>
      <c r="N211" s="7"/>
      <c r="O211" s="9"/>
    </row>
    <row r="212" spans="1:15" x14ac:dyDescent="0.2">
      <c r="A212" s="10"/>
      <c r="F212" s="7"/>
      <c r="G212" s="9"/>
      <c r="I212" s="10"/>
      <c r="N212" s="7"/>
      <c r="O212" s="9"/>
    </row>
    <row r="213" spans="1:15" x14ac:dyDescent="0.2">
      <c r="A213" s="10"/>
      <c r="F213" s="7"/>
      <c r="G213" s="9"/>
      <c r="I213" s="10"/>
      <c r="N213" s="7"/>
      <c r="O213" s="9"/>
    </row>
    <row r="214" spans="1:15" x14ac:dyDescent="0.2">
      <c r="A214" s="10"/>
      <c r="F214" s="7"/>
      <c r="G214" s="9"/>
      <c r="I214" s="10"/>
      <c r="N214" s="7"/>
      <c r="O214" s="9"/>
    </row>
    <row r="215" spans="1:15" x14ac:dyDescent="0.2">
      <c r="A215" s="10"/>
      <c r="F215" s="7"/>
      <c r="G215" s="9"/>
      <c r="I215" s="10"/>
      <c r="N215" s="7"/>
      <c r="O215" s="9"/>
    </row>
    <row r="216" spans="1:15" x14ac:dyDescent="0.2">
      <c r="A216" s="10"/>
      <c r="F216" s="7"/>
      <c r="G216" s="9"/>
      <c r="I216" s="10"/>
      <c r="N216" s="7"/>
      <c r="O216" s="9"/>
    </row>
    <row r="217" spans="1:15" x14ac:dyDescent="0.2">
      <c r="A217" s="10"/>
      <c r="F217" s="7"/>
      <c r="G217" s="9"/>
      <c r="I217" s="10"/>
      <c r="N217" s="7"/>
      <c r="O217" s="9"/>
    </row>
    <row r="218" spans="1:15" x14ac:dyDescent="0.2">
      <c r="A218" s="10"/>
      <c r="F218" s="7"/>
      <c r="G218" s="9"/>
      <c r="I218" s="10"/>
      <c r="N218" s="7"/>
      <c r="O218" s="9"/>
    </row>
    <row r="219" spans="1:15" x14ac:dyDescent="0.2">
      <c r="A219" s="10"/>
      <c r="F219" s="7"/>
      <c r="G219" s="9"/>
      <c r="I219" s="10"/>
      <c r="N219" s="7"/>
      <c r="O219" s="9"/>
    </row>
    <row r="220" spans="1:15" x14ac:dyDescent="0.2">
      <c r="A220" s="10"/>
      <c r="F220" s="7"/>
      <c r="G220" s="9"/>
      <c r="I220" s="10"/>
      <c r="N220" s="7"/>
      <c r="O220" s="9"/>
    </row>
    <row r="221" spans="1:15" x14ac:dyDescent="0.2">
      <c r="A221" s="10"/>
      <c r="F221" s="7"/>
      <c r="G221" s="9"/>
      <c r="I221" s="10"/>
      <c r="N221" s="7"/>
      <c r="O221" s="9"/>
    </row>
    <row r="222" spans="1:15" x14ac:dyDescent="0.2">
      <c r="A222" s="10"/>
      <c r="F222" s="7"/>
      <c r="G222" s="9"/>
      <c r="I222" s="10"/>
      <c r="N222" s="7"/>
      <c r="O222" s="9"/>
    </row>
    <row r="223" spans="1:15" x14ac:dyDescent="0.2">
      <c r="A223" s="10"/>
      <c r="F223" s="7"/>
      <c r="G223" s="9"/>
      <c r="I223" s="10"/>
      <c r="N223" s="7"/>
      <c r="O223" s="9"/>
    </row>
    <row r="224" spans="1:15" x14ac:dyDescent="0.2">
      <c r="A224" s="10"/>
      <c r="F224" s="7"/>
      <c r="G224" s="9"/>
      <c r="I224" s="10"/>
      <c r="N224" s="7"/>
      <c r="O224" s="9"/>
    </row>
    <row r="225" spans="1:15" x14ac:dyDescent="0.2">
      <c r="A225" s="10"/>
      <c r="F225" s="7"/>
      <c r="G225" s="9"/>
      <c r="I225" s="10"/>
      <c r="N225" s="7"/>
      <c r="O225" s="9"/>
    </row>
    <row r="226" spans="1:15" x14ac:dyDescent="0.2">
      <c r="A226" s="10"/>
      <c r="F226" s="7"/>
      <c r="G226" s="9"/>
      <c r="I226" s="10"/>
      <c r="N226" s="7"/>
      <c r="O226" s="9"/>
    </row>
    <row r="227" spans="1:15" x14ac:dyDescent="0.2">
      <c r="A227" s="10"/>
      <c r="F227" s="7"/>
      <c r="G227" s="9"/>
      <c r="I227" s="10"/>
      <c r="N227" s="7"/>
      <c r="O227" s="9"/>
    </row>
    <row r="228" spans="1:15" x14ac:dyDescent="0.2">
      <c r="A228" s="10"/>
      <c r="F228" s="7"/>
      <c r="G228" s="9"/>
      <c r="I228" s="10"/>
      <c r="N228" s="7"/>
      <c r="O228" s="9"/>
    </row>
    <row r="229" spans="1:15" x14ac:dyDescent="0.2">
      <c r="A229" s="10"/>
      <c r="F229" s="7"/>
      <c r="G229" s="9"/>
      <c r="I229" s="10"/>
      <c r="N229" s="7"/>
      <c r="O229" s="9"/>
    </row>
    <row r="230" spans="1:15" x14ac:dyDescent="0.2">
      <c r="A230" s="10"/>
      <c r="F230" s="7"/>
      <c r="G230" s="9"/>
      <c r="I230" s="10"/>
      <c r="N230" s="7"/>
      <c r="O230" s="9"/>
    </row>
    <row r="231" spans="1:15" x14ac:dyDescent="0.2">
      <c r="A231" s="10"/>
      <c r="F231" s="7"/>
      <c r="G231" s="9"/>
      <c r="I231" s="10"/>
      <c r="N231" s="7"/>
      <c r="O231" s="9"/>
    </row>
    <row r="232" spans="1:15" x14ac:dyDescent="0.2">
      <c r="A232" s="10"/>
      <c r="F232" s="7"/>
      <c r="G232" s="9"/>
      <c r="I232" s="10"/>
      <c r="N232" s="7"/>
      <c r="O232" s="9"/>
    </row>
    <row r="233" spans="1:15" x14ac:dyDescent="0.2">
      <c r="A233" s="10"/>
      <c r="F233" s="7"/>
      <c r="G233" s="9"/>
      <c r="I233" s="10"/>
      <c r="N233" s="7"/>
      <c r="O233" s="9"/>
    </row>
    <row r="234" spans="1:15" x14ac:dyDescent="0.2">
      <c r="A234" s="10"/>
      <c r="F234" s="7"/>
      <c r="G234" s="9"/>
      <c r="I234" s="10"/>
      <c r="N234" s="7"/>
      <c r="O234" s="9"/>
    </row>
    <row r="235" spans="1:15" x14ac:dyDescent="0.2">
      <c r="A235" s="10"/>
      <c r="F235" s="7"/>
      <c r="G235" s="9"/>
      <c r="I235" s="10"/>
      <c r="N235" s="7"/>
      <c r="O235" s="9"/>
    </row>
    <row r="236" spans="1:15" x14ac:dyDescent="0.2">
      <c r="A236" s="10"/>
      <c r="F236" s="7"/>
      <c r="G236" s="9"/>
      <c r="I236" s="10"/>
      <c r="N236" s="7"/>
      <c r="O236" s="9"/>
    </row>
    <row r="237" spans="1:15" x14ac:dyDescent="0.2">
      <c r="A237" s="10"/>
      <c r="F237" s="7"/>
      <c r="G237" s="9"/>
      <c r="I237" s="10"/>
      <c r="N237" s="7"/>
      <c r="O237" s="9"/>
    </row>
    <row r="238" spans="1:15" x14ac:dyDescent="0.2">
      <c r="A238" s="10"/>
      <c r="F238" s="7"/>
      <c r="G238" s="9"/>
      <c r="I238" s="10"/>
      <c r="N238" s="7"/>
      <c r="O238" s="9"/>
    </row>
    <row r="239" spans="1:15" x14ac:dyDescent="0.2">
      <c r="A239" s="10"/>
      <c r="F239" s="7"/>
      <c r="G239" s="9"/>
      <c r="I239" s="10"/>
      <c r="N239" s="7"/>
      <c r="O239" s="9"/>
    </row>
    <row r="240" spans="1:15" x14ac:dyDescent="0.2">
      <c r="A240" s="10"/>
      <c r="F240" s="7"/>
      <c r="G240" s="9"/>
      <c r="I240" s="10"/>
      <c r="N240" s="7"/>
      <c r="O240" s="9"/>
    </row>
    <row r="241" spans="1:15" x14ac:dyDescent="0.2">
      <c r="A241" s="10"/>
      <c r="F241" s="7"/>
      <c r="G241" s="9"/>
      <c r="I241" s="10"/>
      <c r="N241" s="7"/>
      <c r="O241" s="9"/>
    </row>
    <row r="242" spans="1:15" x14ac:dyDescent="0.2">
      <c r="A242" s="10"/>
      <c r="F242" s="7"/>
      <c r="G242" s="9"/>
      <c r="I242" s="10"/>
      <c r="N242" s="7"/>
      <c r="O242" s="9"/>
    </row>
    <row r="243" spans="1:15" x14ac:dyDescent="0.2">
      <c r="A243" s="10"/>
      <c r="F243" s="7"/>
      <c r="G243" s="9"/>
      <c r="I243" s="10"/>
      <c r="N243" s="7"/>
      <c r="O243" s="9"/>
    </row>
    <row r="244" spans="1:15" x14ac:dyDescent="0.2">
      <c r="A244" s="10"/>
      <c r="F244" s="7"/>
      <c r="G244" s="9"/>
      <c r="I244" s="10"/>
      <c r="N244" s="7"/>
      <c r="O244" s="9"/>
    </row>
    <row r="245" spans="1:15" x14ac:dyDescent="0.2">
      <c r="A245" s="10"/>
      <c r="F245" s="7"/>
      <c r="G245" s="9"/>
      <c r="I245" s="10"/>
      <c r="N245" s="7"/>
      <c r="O245" s="9"/>
    </row>
    <row r="246" spans="1:15" x14ac:dyDescent="0.2">
      <c r="A246" s="10"/>
      <c r="F246" s="7"/>
      <c r="G246" s="9"/>
      <c r="I246" s="10"/>
      <c r="N246" s="7"/>
      <c r="O246" s="9"/>
    </row>
    <row r="247" spans="1:15" x14ac:dyDescent="0.2">
      <c r="A247" s="10"/>
      <c r="F247" s="7"/>
      <c r="G247" s="9"/>
      <c r="I247" s="10"/>
      <c r="N247" s="7"/>
      <c r="O247" s="9"/>
    </row>
    <row r="248" spans="1:15" x14ac:dyDescent="0.2">
      <c r="A248" s="10"/>
      <c r="F248" s="7"/>
      <c r="G248" s="9"/>
      <c r="I248" s="10"/>
      <c r="N248" s="7"/>
      <c r="O248" s="9"/>
    </row>
    <row r="249" spans="1:15" x14ac:dyDescent="0.2">
      <c r="A249" s="10"/>
      <c r="F249" s="7"/>
      <c r="G249" s="9"/>
      <c r="I249" s="10"/>
      <c r="N249" s="7"/>
      <c r="O249" s="9"/>
    </row>
    <row r="250" spans="1:15" x14ac:dyDescent="0.2">
      <c r="A250" s="10"/>
      <c r="F250" s="7"/>
      <c r="G250" s="9"/>
      <c r="I250" s="10"/>
      <c r="N250" s="7"/>
      <c r="O250" s="9"/>
    </row>
    <row r="251" spans="1:15" x14ac:dyDescent="0.2">
      <c r="A251" s="10"/>
      <c r="F251" s="7"/>
      <c r="G251" s="9"/>
      <c r="I251" s="10"/>
      <c r="N251" s="7"/>
      <c r="O251" s="9"/>
    </row>
    <row r="252" spans="1:15" x14ac:dyDescent="0.2">
      <c r="A252" s="10"/>
      <c r="F252" s="7"/>
      <c r="G252" s="9"/>
      <c r="I252" s="10"/>
      <c r="N252" s="7"/>
      <c r="O252" s="9"/>
    </row>
    <row r="253" spans="1:15" x14ac:dyDescent="0.2">
      <c r="A253" s="10"/>
      <c r="F253" s="7"/>
      <c r="G253" s="9"/>
      <c r="I253" s="10"/>
      <c r="N253" s="7"/>
      <c r="O253" s="9"/>
    </row>
    <row r="254" spans="1:15" x14ac:dyDescent="0.2">
      <c r="A254" s="10"/>
      <c r="F254" s="7"/>
      <c r="G254" s="9"/>
      <c r="I254" s="10"/>
      <c r="N254" s="7"/>
      <c r="O254" s="9"/>
    </row>
    <row r="255" spans="1:15" x14ac:dyDescent="0.2">
      <c r="A255" s="10"/>
      <c r="F255" s="7"/>
      <c r="G255" s="9"/>
      <c r="I255" s="10"/>
      <c r="N255" s="7"/>
      <c r="O255" s="9"/>
    </row>
    <row r="256" spans="1:15" x14ac:dyDescent="0.2">
      <c r="A256" s="10"/>
      <c r="F256" s="7"/>
      <c r="G256" s="9"/>
      <c r="I256" s="10"/>
      <c r="N256" s="7"/>
      <c r="O256" s="9"/>
    </row>
    <row r="257" spans="1:15" x14ac:dyDescent="0.2">
      <c r="A257" s="10"/>
      <c r="F257" s="7"/>
      <c r="G257" s="9"/>
      <c r="I257" s="10"/>
      <c r="N257" s="7"/>
      <c r="O257" s="9"/>
    </row>
    <row r="258" spans="1:15" x14ac:dyDescent="0.2">
      <c r="A258" s="10"/>
      <c r="F258" s="7"/>
      <c r="G258" s="9"/>
      <c r="I258" s="10"/>
      <c r="N258" s="7"/>
      <c r="O258" s="9"/>
    </row>
    <row r="259" spans="1:15" x14ac:dyDescent="0.2">
      <c r="A259" s="10"/>
      <c r="F259" s="7"/>
      <c r="G259" s="9"/>
      <c r="I259" s="10"/>
      <c r="N259" s="7"/>
      <c r="O259" s="9"/>
    </row>
    <row r="260" spans="1:15" x14ac:dyDescent="0.2">
      <c r="A260" s="10"/>
      <c r="F260" s="7"/>
      <c r="G260" s="9"/>
      <c r="I260" s="10"/>
      <c r="N260" s="7"/>
      <c r="O260" s="9"/>
    </row>
    <row r="261" spans="1:15" x14ac:dyDescent="0.2">
      <c r="A261" s="10"/>
      <c r="F261" s="7"/>
      <c r="G261" s="9"/>
      <c r="I261" s="10"/>
      <c r="N261" s="7"/>
      <c r="O261" s="9"/>
    </row>
    <row r="262" spans="1:15" x14ac:dyDescent="0.2">
      <c r="A262" s="10"/>
      <c r="F262" s="7"/>
      <c r="G262" s="9"/>
      <c r="I262" s="10"/>
      <c r="N262" s="7"/>
      <c r="O262" s="9"/>
    </row>
    <row r="263" spans="1:15" x14ac:dyDescent="0.2">
      <c r="A263" s="10"/>
      <c r="F263" s="7"/>
      <c r="G263" s="9"/>
      <c r="I263" s="10"/>
      <c r="N263" s="7"/>
      <c r="O263" s="9"/>
    </row>
    <row r="264" spans="1:15" x14ac:dyDescent="0.2">
      <c r="A264" s="10"/>
      <c r="F264" s="7"/>
      <c r="G264" s="9"/>
      <c r="I264" s="10"/>
      <c r="N264" s="7"/>
      <c r="O264" s="9"/>
    </row>
    <row r="265" spans="1:15" x14ac:dyDescent="0.2">
      <c r="A265" s="10"/>
      <c r="F265" s="7"/>
      <c r="G265" s="9"/>
      <c r="I265" s="10"/>
      <c r="N265" s="7"/>
      <c r="O265" s="9"/>
    </row>
    <row r="266" spans="1:15" x14ac:dyDescent="0.2">
      <c r="A266" s="10"/>
      <c r="F266" s="7"/>
      <c r="G266" s="9"/>
      <c r="I266" s="10"/>
      <c r="N266" s="7"/>
      <c r="O266" s="9"/>
    </row>
    <row r="267" spans="1:15" x14ac:dyDescent="0.2">
      <c r="A267" s="10"/>
      <c r="F267" s="7"/>
      <c r="G267" s="9"/>
      <c r="I267" s="10"/>
      <c r="N267" s="7"/>
      <c r="O267" s="9"/>
    </row>
    <row r="268" spans="1:15" x14ac:dyDescent="0.2">
      <c r="A268" s="10"/>
      <c r="F268" s="7"/>
      <c r="G268" s="9"/>
      <c r="I268" s="10"/>
      <c r="N268" s="7"/>
      <c r="O268" s="9"/>
    </row>
    <row r="269" spans="1:15" x14ac:dyDescent="0.2">
      <c r="A269" s="10"/>
      <c r="F269" s="7"/>
      <c r="G269" s="9"/>
      <c r="I269" s="10"/>
      <c r="N269" s="7"/>
      <c r="O269" s="9"/>
    </row>
    <row r="270" spans="1:15" x14ac:dyDescent="0.2">
      <c r="A270" s="10"/>
      <c r="F270" s="7"/>
      <c r="G270" s="9"/>
      <c r="I270" s="10"/>
      <c r="N270" s="7"/>
      <c r="O270" s="9"/>
    </row>
    <row r="271" spans="1:15" x14ac:dyDescent="0.2">
      <c r="A271" s="10"/>
      <c r="F271" s="7"/>
      <c r="G271" s="9"/>
      <c r="I271" s="10"/>
      <c r="N271" s="7"/>
      <c r="O271" s="9"/>
    </row>
    <row r="272" spans="1:15" x14ac:dyDescent="0.2">
      <c r="A272" s="10"/>
      <c r="F272" s="7"/>
      <c r="G272" s="9"/>
      <c r="I272" s="10"/>
      <c r="N272" s="7"/>
      <c r="O272" s="9"/>
    </row>
    <row r="273" spans="1:15" x14ac:dyDescent="0.2">
      <c r="A273" s="10"/>
      <c r="F273" s="7"/>
      <c r="G273" s="9"/>
      <c r="I273" s="10"/>
      <c r="N273" s="7"/>
      <c r="O273" s="9"/>
    </row>
    <row r="274" spans="1:15" x14ac:dyDescent="0.2">
      <c r="A274" s="10"/>
      <c r="F274" s="7"/>
      <c r="G274" s="9"/>
      <c r="I274" s="10"/>
      <c r="N274" s="7"/>
      <c r="O274" s="9"/>
    </row>
    <row r="275" spans="1:15" x14ac:dyDescent="0.2">
      <c r="A275" s="10"/>
      <c r="F275" s="7"/>
      <c r="G275" s="9"/>
      <c r="I275" s="10"/>
      <c r="N275" s="7"/>
      <c r="O275" s="9"/>
    </row>
    <row r="276" spans="1:15" x14ac:dyDescent="0.2">
      <c r="A276" s="10"/>
      <c r="F276" s="7"/>
      <c r="G276" s="9"/>
      <c r="I276" s="10"/>
      <c r="N276" s="7"/>
      <c r="O276" s="9"/>
    </row>
    <row r="277" spans="1:15" x14ac:dyDescent="0.2">
      <c r="A277" s="10"/>
      <c r="F277" s="7"/>
      <c r="G277" s="9"/>
      <c r="I277" s="10"/>
      <c r="N277" s="7"/>
      <c r="O277" s="9"/>
    </row>
    <row r="278" spans="1:15" x14ac:dyDescent="0.2">
      <c r="A278" s="10"/>
      <c r="F278" s="7"/>
      <c r="G278" s="9"/>
      <c r="I278" s="10"/>
      <c r="N278" s="7"/>
      <c r="O278" s="9"/>
    </row>
    <row r="279" spans="1:15" x14ac:dyDescent="0.2">
      <c r="A279" s="10"/>
      <c r="F279" s="7"/>
      <c r="G279" s="9"/>
      <c r="I279" s="10"/>
      <c r="N279" s="7"/>
      <c r="O279" s="9"/>
    </row>
    <row r="280" spans="1:15" x14ac:dyDescent="0.2">
      <c r="A280" s="10"/>
      <c r="F280" s="7"/>
      <c r="G280" s="9"/>
      <c r="I280" s="10"/>
      <c r="N280" s="7"/>
      <c r="O280" s="9"/>
    </row>
    <row r="281" spans="1:15" x14ac:dyDescent="0.2">
      <c r="A281" s="10"/>
      <c r="F281" s="7"/>
      <c r="G281" s="9"/>
      <c r="I281" s="10"/>
      <c r="N281" s="7"/>
      <c r="O281" s="9"/>
    </row>
    <row r="282" spans="1:15" x14ac:dyDescent="0.2">
      <c r="A282" s="10"/>
      <c r="F282" s="7"/>
      <c r="G282" s="9"/>
      <c r="I282" s="10"/>
      <c r="N282" s="7"/>
      <c r="O282" s="9"/>
    </row>
    <row r="283" spans="1:15" x14ac:dyDescent="0.2">
      <c r="A283" s="10"/>
      <c r="F283" s="7"/>
      <c r="G283" s="9"/>
      <c r="I283" s="10"/>
      <c r="N283" s="7"/>
      <c r="O283" s="9"/>
    </row>
    <row r="284" spans="1:15" x14ac:dyDescent="0.2">
      <c r="A284" s="10"/>
      <c r="F284" s="7"/>
      <c r="G284" s="9"/>
      <c r="I284" s="10"/>
      <c r="N284" s="7"/>
      <c r="O284" s="9"/>
    </row>
    <row r="285" spans="1:15" x14ac:dyDescent="0.2">
      <c r="A285" s="10"/>
      <c r="F285" s="7"/>
      <c r="G285" s="9"/>
      <c r="I285" s="10"/>
      <c r="N285" s="7"/>
      <c r="O285" s="9"/>
    </row>
    <row r="286" spans="1:15" x14ac:dyDescent="0.2">
      <c r="A286" s="10"/>
      <c r="F286" s="7"/>
      <c r="G286" s="9"/>
      <c r="I286" s="10"/>
      <c r="N286" s="7"/>
      <c r="O286" s="9"/>
    </row>
    <row r="287" spans="1:15" x14ac:dyDescent="0.2">
      <c r="A287" s="10"/>
      <c r="F287" s="7"/>
      <c r="G287" s="9"/>
      <c r="I287" s="10"/>
      <c r="N287" s="7"/>
      <c r="O287" s="9"/>
    </row>
    <row r="288" spans="1:15" x14ac:dyDescent="0.2">
      <c r="A288" s="10"/>
      <c r="F288" s="7"/>
      <c r="G288" s="9"/>
      <c r="I288" s="10"/>
      <c r="N288" s="7"/>
      <c r="O288" s="9"/>
    </row>
    <row r="289" spans="1:15" x14ac:dyDescent="0.2">
      <c r="A289" s="10"/>
      <c r="F289" s="7"/>
      <c r="G289" s="9"/>
      <c r="I289" s="10"/>
      <c r="N289" s="7"/>
      <c r="O289" s="9"/>
    </row>
    <row r="290" spans="1:15" x14ac:dyDescent="0.2">
      <c r="A290" s="10"/>
      <c r="F290" s="7"/>
      <c r="G290" s="9"/>
      <c r="I290" s="10"/>
      <c r="N290" s="7"/>
      <c r="O290" s="9"/>
    </row>
    <row r="291" spans="1:15" x14ac:dyDescent="0.2">
      <c r="A291" s="10"/>
      <c r="F291" s="7"/>
      <c r="G291" s="9"/>
      <c r="I291" s="10"/>
      <c r="N291" s="7"/>
      <c r="O291" s="9"/>
    </row>
    <row r="292" spans="1:15" x14ac:dyDescent="0.2">
      <c r="A292" s="10"/>
      <c r="F292" s="7"/>
      <c r="G292" s="9"/>
      <c r="I292" s="10"/>
      <c r="N292" s="7"/>
      <c r="O292" s="9"/>
    </row>
    <row r="293" spans="1:15" x14ac:dyDescent="0.2">
      <c r="A293" s="10"/>
      <c r="F293" s="7"/>
      <c r="G293" s="9"/>
      <c r="I293" s="10"/>
      <c r="N293" s="7"/>
      <c r="O293" s="9"/>
    </row>
    <row r="294" spans="1:15" x14ac:dyDescent="0.2">
      <c r="A294" s="10"/>
      <c r="F294" s="7"/>
      <c r="G294" s="9"/>
      <c r="I294" s="10"/>
      <c r="N294" s="7"/>
      <c r="O294" s="9"/>
    </row>
    <row r="295" spans="1:15" x14ac:dyDescent="0.2">
      <c r="A295" s="10"/>
      <c r="F295" s="7"/>
      <c r="G295" s="9"/>
      <c r="I295" s="10"/>
      <c r="N295" s="7"/>
      <c r="O295" s="9"/>
    </row>
    <row r="296" spans="1:15" x14ac:dyDescent="0.2">
      <c r="A296" s="10"/>
      <c r="F296" s="7"/>
      <c r="G296" s="9"/>
      <c r="I296" s="10"/>
      <c r="N296" s="7"/>
      <c r="O296" s="9"/>
    </row>
    <row r="297" spans="1:15" x14ac:dyDescent="0.2">
      <c r="A297" s="10"/>
      <c r="F297" s="7"/>
      <c r="G297" s="9"/>
      <c r="I297" s="10"/>
      <c r="N297" s="7"/>
      <c r="O297" s="9"/>
    </row>
    <row r="298" spans="1:15" x14ac:dyDescent="0.2">
      <c r="A298" s="10"/>
      <c r="F298" s="7"/>
      <c r="G298" s="9"/>
      <c r="I298" s="10"/>
      <c r="N298" s="7"/>
      <c r="O298" s="9"/>
    </row>
    <row r="299" spans="1:15" x14ac:dyDescent="0.2">
      <c r="A299" s="10"/>
      <c r="F299" s="7"/>
      <c r="G299" s="9"/>
      <c r="I299" s="10"/>
      <c r="N299" s="7"/>
      <c r="O299" s="9"/>
    </row>
    <row r="300" spans="1:15" x14ac:dyDescent="0.2">
      <c r="A300" s="10"/>
      <c r="F300" s="7"/>
      <c r="G300" s="9"/>
      <c r="I300" s="10"/>
      <c r="N300" s="7"/>
      <c r="O300" s="9"/>
    </row>
    <row r="301" spans="1:15" x14ac:dyDescent="0.2">
      <c r="A301" s="10"/>
      <c r="F301" s="7"/>
      <c r="G301" s="9"/>
      <c r="I301" s="10"/>
      <c r="N301" s="7"/>
      <c r="O301" s="9"/>
    </row>
    <row r="302" spans="1:15" x14ac:dyDescent="0.2">
      <c r="A302" s="10"/>
      <c r="F302" s="7"/>
      <c r="G302" s="9"/>
      <c r="I302" s="10"/>
      <c r="N302" s="7"/>
      <c r="O302" s="9"/>
    </row>
    <row r="303" spans="1:15" x14ac:dyDescent="0.2">
      <c r="A303" s="10"/>
      <c r="F303" s="7"/>
      <c r="G303" s="9"/>
      <c r="I303" s="10"/>
      <c r="N303" s="7"/>
      <c r="O303" s="9"/>
    </row>
    <row r="304" spans="1:15" x14ac:dyDescent="0.2">
      <c r="A304" s="10"/>
      <c r="F304" s="7"/>
      <c r="G304" s="9"/>
      <c r="I304" s="10"/>
      <c r="N304" s="7"/>
      <c r="O304" s="9"/>
    </row>
    <row r="305" spans="1:15" x14ac:dyDescent="0.2">
      <c r="A305" s="10"/>
      <c r="F305" s="7"/>
      <c r="G305" s="9"/>
      <c r="I305" s="10"/>
      <c r="N305" s="7"/>
      <c r="O305" s="9"/>
    </row>
    <row r="306" spans="1:15" x14ac:dyDescent="0.2">
      <c r="A306" s="10"/>
      <c r="F306" s="7"/>
      <c r="G306" s="9"/>
      <c r="I306" s="10"/>
      <c r="N306" s="7"/>
      <c r="O306" s="9"/>
    </row>
    <row r="307" spans="1:15" x14ac:dyDescent="0.2">
      <c r="A307" s="10"/>
      <c r="F307" s="7"/>
      <c r="G307" s="9"/>
      <c r="I307" s="10"/>
      <c r="N307" s="7"/>
      <c r="O307" s="9"/>
    </row>
    <row r="308" spans="1:15" x14ac:dyDescent="0.2">
      <c r="A308" s="10"/>
      <c r="F308" s="7"/>
      <c r="G308" s="9"/>
      <c r="I308" s="10"/>
      <c r="N308" s="7"/>
      <c r="O308" s="9"/>
    </row>
    <row r="309" spans="1:15" x14ac:dyDescent="0.2">
      <c r="A309" s="10"/>
      <c r="F309" s="7"/>
      <c r="G309" s="9"/>
      <c r="I309" s="10"/>
      <c r="N309" s="7"/>
      <c r="O309" s="9"/>
    </row>
    <row r="310" spans="1:15" x14ac:dyDescent="0.2">
      <c r="A310" s="10"/>
      <c r="F310" s="7"/>
      <c r="G310" s="9"/>
      <c r="I310" s="10"/>
      <c r="N310" s="7"/>
      <c r="O310" s="9"/>
    </row>
    <row r="311" spans="1:15" x14ac:dyDescent="0.2">
      <c r="A311" s="10"/>
      <c r="F311" s="7"/>
      <c r="G311" s="9"/>
      <c r="I311" s="10"/>
      <c r="N311" s="7"/>
      <c r="O311" s="9"/>
    </row>
    <row r="312" spans="1:15" x14ac:dyDescent="0.2">
      <c r="A312" s="10"/>
      <c r="F312" s="7"/>
      <c r="G312" s="9"/>
      <c r="I312" s="10"/>
      <c r="N312" s="7"/>
      <c r="O312" s="9"/>
    </row>
    <row r="313" spans="1:15" x14ac:dyDescent="0.2">
      <c r="A313" s="10"/>
      <c r="F313" s="7"/>
      <c r="G313" s="9"/>
      <c r="I313" s="10"/>
      <c r="N313" s="7"/>
      <c r="O313" s="9"/>
    </row>
    <row r="314" spans="1:15" x14ac:dyDescent="0.2">
      <c r="A314" s="10"/>
      <c r="F314" s="7"/>
      <c r="G314" s="9"/>
      <c r="I314" s="10"/>
      <c r="N314" s="7"/>
      <c r="O314" s="9"/>
    </row>
    <row r="315" spans="1:15" x14ac:dyDescent="0.2">
      <c r="A315" s="10"/>
      <c r="F315" s="7"/>
      <c r="G315" s="9"/>
      <c r="I315" s="10"/>
      <c r="N315" s="7"/>
      <c r="O315" s="9"/>
    </row>
    <row r="316" spans="1:15" x14ac:dyDescent="0.2">
      <c r="A316" s="10"/>
      <c r="F316" s="7"/>
      <c r="G316" s="9"/>
      <c r="I316" s="10"/>
      <c r="N316" s="7"/>
      <c r="O316" s="9"/>
    </row>
    <row r="317" spans="1:15" x14ac:dyDescent="0.2">
      <c r="A317" s="10"/>
      <c r="F317" s="7"/>
      <c r="G317" s="9"/>
      <c r="I317" s="10"/>
      <c r="N317" s="7"/>
      <c r="O317" s="9"/>
    </row>
    <row r="318" spans="1:15" x14ac:dyDescent="0.2">
      <c r="A318" s="10"/>
      <c r="F318" s="7"/>
      <c r="G318" s="9"/>
      <c r="I318" s="10"/>
      <c r="N318" s="7"/>
      <c r="O318" s="9"/>
    </row>
    <row r="319" spans="1:15" x14ac:dyDescent="0.2">
      <c r="A319" s="10"/>
      <c r="F319" s="7"/>
      <c r="G319" s="9"/>
      <c r="I319" s="10"/>
      <c r="N319" s="7"/>
      <c r="O319" s="9"/>
    </row>
    <row r="320" spans="1:15" x14ac:dyDescent="0.2">
      <c r="A320" s="10"/>
      <c r="F320" s="7"/>
      <c r="G320" s="9"/>
      <c r="I320" s="10"/>
      <c r="N320" s="7"/>
      <c r="O320" s="9"/>
    </row>
    <row r="321" spans="1:15" x14ac:dyDescent="0.2">
      <c r="A321" s="10"/>
      <c r="F321" s="7"/>
      <c r="G321" s="9"/>
      <c r="I321" s="10"/>
      <c r="N321" s="7"/>
      <c r="O321" s="9"/>
    </row>
    <row r="322" spans="1:15" x14ac:dyDescent="0.2">
      <c r="A322" s="10"/>
      <c r="F322" s="7"/>
      <c r="G322" s="9"/>
      <c r="I322" s="10"/>
      <c r="N322" s="7"/>
      <c r="O322" s="9"/>
    </row>
    <row r="323" spans="1:15" x14ac:dyDescent="0.2">
      <c r="A323" s="10"/>
      <c r="F323" s="7"/>
      <c r="G323" s="9"/>
      <c r="I323" s="10"/>
      <c r="N323" s="7"/>
      <c r="O323" s="9"/>
    </row>
    <row r="324" spans="1:15" x14ac:dyDescent="0.2">
      <c r="A324" s="10"/>
      <c r="F324" s="7"/>
      <c r="G324" s="9"/>
      <c r="I324" s="10"/>
      <c r="N324" s="7"/>
      <c r="O324" s="9"/>
    </row>
    <row r="325" spans="1:15" x14ac:dyDescent="0.2">
      <c r="A325" s="10"/>
      <c r="F325" s="7"/>
      <c r="G325" s="9"/>
      <c r="I325" s="10"/>
      <c r="N325" s="7"/>
      <c r="O325" s="9"/>
    </row>
    <row r="326" spans="1:15" x14ac:dyDescent="0.2">
      <c r="A326" s="10"/>
      <c r="F326" s="7"/>
      <c r="G326" s="9"/>
      <c r="I326" s="10"/>
      <c r="N326" s="7"/>
      <c r="O326" s="9"/>
    </row>
    <row r="327" spans="1:15" x14ac:dyDescent="0.2">
      <c r="A327" s="10"/>
      <c r="F327" s="7"/>
      <c r="G327" s="9"/>
      <c r="I327" s="10"/>
      <c r="N327" s="7"/>
      <c r="O327" s="9"/>
    </row>
    <row r="328" spans="1:15" x14ac:dyDescent="0.2">
      <c r="A328" s="10"/>
      <c r="F328" s="7"/>
      <c r="G328" s="9"/>
      <c r="I328" s="10"/>
      <c r="N328" s="7"/>
      <c r="O328" s="9"/>
    </row>
    <row r="329" spans="1:15" x14ac:dyDescent="0.2">
      <c r="A329" s="10"/>
      <c r="F329" s="7"/>
      <c r="G329" s="9"/>
      <c r="I329" s="10"/>
      <c r="N329" s="7"/>
      <c r="O329" s="9"/>
    </row>
    <row r="330" spans="1:15" x14ac:dyDescent="0.2">
      <c r="A330" s="10"/>
      <c r="F330" s="7"/>
      <c r="G330" s="9"/>
      <c r="I330" s="10"/>
      <c r="N330" s="7"/>
      <c r="O330" s="9"/>
    </row>
    <row r="331" spans="1:15" x14ac:dyDescent="0.2">
      <c r="A331" s="10"/>
      <c r="F331" s="7"/>
      <c r="G331" s="9"/>
      <c r="I331" s="10"/>
      <c r="N331" s="7"/>
      <c r="O331" s="9"/>
    </row>
    <row r="332" spans="1:15" x14ac:dyDescent="0.2">
      <c r="A332" s="10"/>
      <c r="F332" s="7"/>
      <c r="G332" s="9"/>
      <c r="I332" s="10"/>
      <c r="N332" s="7"/>
      <c r="O332" s="9"/>
    </row>
    <row r="333" spans="1:15" x14ac:dyDescent="0.2">
      <c r="A333" s="10"/>
      <c r="F333" s="7"/>
      <c r="G333" s="9"/>
      <c r="I333" s="10"/>
      <c r="N333" s="7"/>
      <c r="O333" s="9"/>
    </row>
    <row r="334" spans="1:15" x14ac:dyDescent="0.2">
      <c r="A334" s="10"/>
      <c r="F334" s="7"/>
      <c r="G334" s="9"/>
      <c r="I334" s="10"/>
      <c r="N334" s="7"/>
      <c r="O334" s="9"/>
    </row>
    <row r="335" spans="1:15" x14ac:dyDescent="0.2">
      <c r="A335" s="10"/>
      <c r="F335" s="7"/>
      <c r="G335" s="9"/>
      <c r="I335" s="10"/>
      <c r="N335" s="7"/>
      <c r="O335" s="9"/>
    </row>
    <row r="336" spans="1:15" x14ac:dyDescent="0.2">
      <c r="A336" s="10"/>
      <c r="F336" s="7"/>
      <c r="G336" s="9"/>
      <c r="I336" s="10"/>
      <c r="N336" s="7"/>
      <c r="O336" s="9"/>
    </row>
    <row r="337" spans="1:15" x14ac:dyDescent="0.2">
      <c r="A337" s="10"/>
      <c r="F337" s="7"/>
      <c r="G337" s="9"/>
      <c r="I337" s="10"/>
      <c r="N337" s="7"/>
      <c r="O337" s="9"/>
    </row>
    <row r="338" spans="1:15" x14ac:dyDescent="0.2">
      <c r="A338" s="10"/>
      <c r="F338" s="7"/>
      <c r="G338" s="9"/>
      <c r="I338" s="10"/>
      <c r="N338" s="7"/>
      <c r="O338" s="9"/>
    </row>
    <row r="339" spans="1:15" x14ac:dyDescent="0.2">
      <c r="A339" s="10"/>
      <c r="F339" s="7"/>
      <c r="G339" s="9"/>
      <c r="I339" s="10"/>
      <c r="N339" s="7"/>
      <c r="O339" s="9"/>
    </row>
    <row r="340" spans="1:15" x14ac:dyDescent="0.2">
      <c r="A340" s="10"/>
      <c r="F340" s="7"/>
      <c r="G340" s="9"/>
      <c r="I340" s="10"/>
      <c r="N340" s="7"/>
      <c r="O340" s="9"/>
    </row>
    <row r="341" spans="1:15" x14ac:dyDescent="0.2">
      <c r="A341" s="10"/>
      <c r="F341" s="7"/>
      <c r="G341" s="9"/>
      <c r="I341" s="10"/>
      <c r="N341" s="7"/>
      <c r="O341" s="9"/>
    </row>
    <row r="342" spans="1:15" x14ac:dyDescent="0.2">
      <c r="A342" s="10"/>
      <c r="F342" s="7"/>
      <c r="G342" s="9"/>
      <c r="I342" s="10"/>
      <c r="N342" s="7"/>
      <c r="O342" s="9"/>
    </row>
    <row r="343" spans="1:15" x14ac:dyDescent="0.2">
      <c r="A343" s="10"/>
      <c r="F343" s="7"/>
      <c r="G343" s="9"/>
      <c r="I343" s="10"/>
      <c r="N343" s="7"/>
      <c r="O343" s="9"/>
    </row>
    <row r="344" spans="1:15" x14ac:dyDescent="0.2">
      <c r="A344" s="10"/>
      <c r="F344" s="7"/>
      <c r="G344" s="9"/>
      <c r="I344" s="10"/>
      <c r="N344" s="7"/>
      <c r="O344" s="9"/>
    </row>
    <row r="345" spans="1:15" x14ac:dyDescent="0.2">
      <c r="A345" s="10"/>
      <c r="F345" s="7"/>
      <c r="G345" s="9"/>
      <c r="I345" s="10"/>
      <c r="N345" s="7"/>
      <c r="O345" s="9"/>
    </row>
    <row r="346" spans="1:15" x14ac:dyDescent="0.2">
      <c r="A346" s="10"/>
      <c r="F346" s="7"/>
      <c r="G346" s="9"/>
      <c r="I346" s="10"/>
      <c r="N346" s="7"/>
      <c r="O346" s="9"/>
    </row>
    <row r="347" spans="1:15" x14ac:dyDescent="0.2">
      <c r="A347" s="10"/>
      <c r="F347" s="7"/>
      <c r="G347" s="9"/>
      <c r="I347" s="10"/>
      <c r="N347" s="7"/>
      <c r="O347" s="9"/>
    </row>
    <row r="348" spans="1:15" x14ac:dyDescent="0.2">
      <c r="A348" s="10"/>
      <c r="F348" s="7"/>
      <c r="G348" s="9"/>
      <c r="I348" s="10"/>
      <c r="N348" s="7"/>
      <c r="O348" s="9"/>
    </row>
    <row r="349" spans="1:15" x14ac:dyDescent="0.2">
      <c r="A349" s="10"/>
      <c r="F349" s="7"/>
      <c r="G349" s="9"/>
      <c r="I349" s="10"/>
      <c r="N349" s="7"/>
      <c r="O349" s="9"/>
    </row>
    <row r="350" spans="1:15" x14ac:dyDescent="0.2">
      <c r="A350" s="10"/>
      <c r="F350" s="7"/>
      <c r="G350" s="9"/>
      <c r="I350" s="10"/>
      <c r="N350" s="7"/>
      <c r="O350" s="9"/>
    </row>
    <row r="351" spans="1:15" x14ac:dyDescent="0.2">
      <c r="A351" s="10"/>
      <c r="F351" s="7"/>
      <c r="G351" s="9"/>
      <c r="I351" s="10"/>
      <c r="N351" s="7"/>
      <c r="O351" s="9"/>
    </row>
    <row r="352" spans="1:15" x14ac:dyDescent="0.2">
      <c r="A352" s="10"/>
      <c r="F352" s="7"/>
      <c r="G352" s="9"/>
      <c r="I352" s="10"/>
      <c r="N352" s="7"/>
      <c r="O352" s="9"/>
    </row>
    <row r="353" spans="1:15" x14ac:dyDescent="0.2">
      <c r="A353" s="10"/>
      <c r="F353" s="7"/>
      <c r="G353" s="9"/>
      <c r="I353" s="10"/>
      <c r="N353" s="7"/>
      <c r="O353" s="9"/>
    </row>
    <row r="354" spans="1:15" x14ac:dyDescent="0.2">
      <c r="A354" s="10"/>
      <c r="F354" s="7"/>
      <c r="G354" s="9"/>
      <c r="I354" s="10"/>
      <c r="N354" s="7"/>
      <c r="O354" s="9"/>
    </row>
    <row r="355" spans="1:15" x14ac:dyDescent="0.2">
      <c r="A355" s="10"/>
      <c r="F355" s="7"/>
      <c r="G355" s="9"/>
      <c r="I355" s="10"/>
      <c r="N355" s="7"/>
      <c r="O355" s="9"/>
    </row>
    <row r="356" spans="1:15" x14ac:dyDescent="0.2">
      <c r="A356" s="10"/>
      <c r="F356" s="7"/>
      <c r="G356" s="9"/>
      <c r="I356" s="10"/>
      <c r="N356" s="7"/>
      <c r="O356" s="9"/>
    </row>
    <row r="357" spans="1:15" x14ac:dyDescent="0.2">
      <c r="A357" s="10"/>
      <c r="F357" s="7"/>
      <c r="G357" s="9"/>
      <c r="I357" s="10"/>
      <c r="N357" s="7"/>
      <c r="O357" s="9"/>
    </row>
    <row r="358" spans="1:15" x14ac:dyDescent="0.2">
      <c r="A358" s="10"/>
      <c r="F358" s="7"/>
      <c r="G358" s="9"/>
      <c r="I358" s="10"/>
      <c r="N358" s="7"/>
      <c r="O358" s="9"/>
    </row>
    <row r="359" spans="1:15" x14ac:dyDescent="0.2">
      <c r="A359" s="10"/>
      <c r="F359" s="7"/>
      <c r="G359" s="9"/>
      <c r="I359" s="10"/>
      <c r="N359" s="7"/>
      <c r="O359" s="9"/>
    </row>
    <row r="360" spans="1:15" x14ac:dyDescent="0.2">
      <c r="A360" s="10"/>
      <c r="F360" s="7"/>
      <c r="G360" s="9"/>
      <c r="I360" s="10"/>
      <c r="N360" s="7"/>
      <c r="O360" s="9"/>
    </row>
    <row r="361" spans="1:15" x14ac:dyDescent="0.2">
      <c r="A361" s="10"/>
      <c r="F361" s="7"/>
      <c r="G361" s="9"/>
      <c r="I361" s="10"/>
      <c r="N361" s="7"/>
      <c r="O361" s="9"/>
    </row>
    <row r="362" spans="1:15" x14ac:dyDescent="0.2">
      <c r="A362" s="10"/>
      <c r="F362" s="7"/>
      <c r="G362" s="9"/>
      <c r="I362" s="10"/>
      <c r="N362" s="7"/>
      <c r="O362" s="9"/>
    </row>
    <row r="363" spans="1:15" x14ac:dyDescent="0.2">
      <c r="A363" s="10"/>
      <c r="F363" s="7"/>
      <c r="G363" s="9"/>
      <c r="I363" s="10"/>
      <c r="N363" s="7"/>
      <c r="O363" s="9"/>
    </row>
    <row r="364" spans="1:15" x14ac:dyDescent="0.2">
      <c r="A364" s="10"/>
      <c r="F364" s="7"/>
      <c r="G364" s="9"/>
      <c r="I364" s="10"/>
      <c r="N364" s="7"/>
      <c r="O364" s="9"/>
    </row>
    <row r="365" spans="1:15" x14ac:dyDescent="0.2">
      <c r="A365" s="10"/>
      <c r="F365" s="7"/>
      <c r="G365" s="9"/>
      <c r="I365" s="10"/>
      <c r="N365" s="7"/>
      <c r="O365" s="9"/>
    </row>
    <row r="366" spans="1:15" x14ac:dyDescent="0.2">
      <c r="A366" s="10"/>
      <c r="F366" s="7"/>
      <c r="G366" s="9"/>
      <c r="I366" s="10"/>
      <c r="N366" s="7"/>
      <c r="O366" s="9"/>
    </row>
    <row r="367" spans="1:15" x14ac:dyDescent="0.2">
      <c r="A367" s="10"/>
      <c r="F367" s="7"/>
      <c r="G367" s="9"/>
      <c r="I367" s="10"/>
      <c r="N367" s="7"/>
      <c r="O367" s="9"/>
    </row>
    <row r="368" spans="1:15" x14ac:dyDescent="0.2">
      <c r="A368" s="10"/>
      <c r="F368" s="7"/>
      <c r="G368" s="9"/>
      <c r="I368" s="10"/>
      <c r="N368" s="7"/>
      <c r="O368" s="9"/>
    </row>
    <row r="369" spans="1:15" x14ac:dyDescent="0.2">
      <c r="A369" s="10"/>
      <c r="F369" s="7"/>
      <c r="G369" s="9"/>
      <c r="I369" s="10"/>
      <c r="N369" s="7"/>
      <c r="O369" s="9"/>
    </row>
    <row r="370" spans="1:15" x14ac:dyDescent="0.2">
      <c r="A370" s="10"/>
      <c r="F370" s="7"/>
      <c r="G370" s="9"/>
      <c r="I370" s="10"/>
      <c r="N370" s="7"/>
      <c r="O370" s="9"/>
    </row>
    <row r="371" spans="1:15" x14ac:dyDescent="0.2">
      <c r="A371" s="10"/>
      <c r="F371" s="7"/>
      <c r="G371" s="9"/>
      <c r="I371" s="10"/>
      <c r="N371" s="7"/>
      <c r="O371" s="9"/>
    </row>
    <row r="372" spans="1:15" x14ac:dyDescent="0.2">
      <c r="A372" s="10"/>
      <c r="F372" s="7"/>
      <c r="G372" s="9"/>
      <c r="I372" s="10"/>
      <c r="N372" s="7"/>
      <c r="O372" s="9"/>
    </row>
    <row r="373" spans="1:15" x14ac:dyDescent="0.2">
      <c r="A373" s="10"/>
      <c r="F373" s="7"/>
      <c r="G373" s="9"/>
      <c r="I373" s="10"/>
      <c r="N373" s="7"/>
      <c r="O373" s="9"/>
    </row>
    <row r="374" spans="1:15" x14ac:dyDescent="0.2">
      <c r="A374" s="10"/>
      <c r="F374" s="7"/>
      <c r="G374" s="9"/>
      <c r="I374" s="10"/>
      <c r="N374" s="7"/>
      <c r="O374" s="9"/>
    </row>
    <row r="375" spans="1:15" x14ac:dyDescent="0.2">
      <c r="A375" s="10"/>
      <c r="F375" s="7"/>
      <c r="G375" s="9"/>
      <c r="I375" s="10"/>
      <c r="N375" s="7"/>
      <c r="O375" s="9"/>
    </row>
    <row r="376" spans="1:15" x14ac:dyDescent="0.2">
      <c r="A376" s="10"/>
      <c r="F376" s="7"/>
      <c r="G376" s="9"/>
      <c r="I376" s="10"/>
      <c r="N376" s="7"/>
      <c r="O376" s="9"/>
    </row>
    <row r="377" spans="1:15" x14ac:dyDescent="0.2">
      <c r="A377" s="10"/>
      <c r="F377" s="7"/>
      <c r="G377" s="9"/>
      <c r="I377" s="10"/>
      <c r="N377" s="7"/>
      <c r="O377" s="9"/>
    </row>
    <row r="378" spans="1:15" x14ac:dyDescent="0.2">
      <c r="A378" s="10"/>
      <c r="F378" s="7"/>
      <c r="G378" s="9"/>
      <c r="I378" s="10"/>
      <c r="N378" s="7"/>
      <c r="O378" s="9"/>
    </row>
    <row r="379" spans="1:15" x14ac:dyDescent="0.2">
      <c r="A379" s="10"/>
      <c r="F379" s="7"/>
      <c r="G379" s="9"/>
      <c r="I379" s="10"/>
      <c r="N379" s="7"/>
      <c r="O379" s="9"/>
    </row>
    <row r="380" spans="1:15" x14ac:dyDescent="0.2">
      <c r="A380" s="10"/>
      <c r="F380" s="7"/>
      <c r="G380" s="9"/>
      <c r="I380" s="10"/>
      <c r="N380" s="7"/>
      <c r="O380" s="9"/>
    </row>
    <row r="381" spans="1:15" x14ac:dyDescent="0.2">
      <c r="A381" s="10"/>
      <c r="F381" s="7"/>
      <c r="G381" s="9"/>
      <c r="I381" s="10"/>
      <c r="N381" s="7"/>
      <c r="O381" s="9"/>
    </row>
    <row r="382" spans="1:15" x14ac:dyDescent="0.2">
      <c r="A382" s="10"/>
      <c r="F382" s="7"/>
      <c r="G382" s="9"/>
      <c r="I382" s="10"/>
      <c r="N382" s="7"/>
      <c r="O382" s="9"/>
    </row>
    <row r="383" spans="1:15" x14ac:dyDescent="0.2">
      <c r="A383" s="10"/>
      <c r="F383" s="7"/>
      <c r="G383" s="9"/>
      <c r="I383" s="10"/>
      <c r="N383" s="7"/>
      <c r="O383" s="9"/>
    </row>
    <row r="384" spans="1:15" x14ac:dyDescent="0.2">
      <c r="A384" s="10"/>
      <c r="F384" s="7"/>
      <c r="G384" s="9"/>
      <c r="I384" s="10"/>
      <c r="N384" s="7"/>
      <c r="O384" s="9"/>
    </row>
    <row r="385" spans="1:15" x14ac:dyDescent="0.2">
      <c r="A385" s="10"/>
      <c r="F385" s="7"/>
      <c r="G385" s="9"/>
      <c r="I385" s="10"/>
      <c r="N385" s="7"/>
      <c r="O385" s="9"/>
    </row>
    <row r="386" spans="1:15" x14ac:dyDescent="0.2">
      <c r="A386" s="10"/>
      <c r="F386" s="7"/>
      <c r="G386" s="9"/>
      <c r="I386" s="10"/>
      <c r="N386" s="7"/>
      <c r="O386" s="9"/>
    </row>
    <row r="387" spans="1:15" x14ac:dyDescent="0.2">
      <c r="A387" s="10"/>
      <c r="F387" s="7"/>
      <c r="G387" s="9"/>
      <c r="I387" s="10"/>
      <c r="N387" s="7"/>
      <c r="O387" s="9"/>
    </row>
    <row r="388" spans="1:15" x14ac:dyDescent="0.2">
      <c r="A388" s="10"/>
      <c r="F388" s="7"/>
      <c r="G388" s="9"/>
      <c r="I388" s="10"/>
      <c r="N388" s="7"/>
      <c r="O388" s="9"/>
    </row>
    <row r="389" spans="1:15" x14ac:dyDescent="0.2">
      <c r="A389" s="10"/>
      <c r="F389" s="7"/>
      <c r="G389" s="9"/>
      <c r="I389" s="10"/>
      <c r="N389" s="7"/>
      <c r="O389" s="9"/>
    </row>
    <row r="390" spans="1:15" x14ac:dyDescent="0.2">
      <c r="A390" s="10"/>
      <c r="F390" s="7"/>
      <c r="G390" s="9"/>
      <c r="I390" s="10"/>
      <c r="N390" s="7"/>
      <c r="O390" s="9"/>
    </row>
    <row r="391" spans="1:15" x14ac:dyDescent="0.2">
      <c r="A391" s="10"/>
      <c r="F391" s="7"/>
      <c r="G391" s="9"/>
      <c r="I391" s="10"/>
      <c r="N391" s="7"/>
      <c r="O391" s="9"/>
    </row>
    <row r="392" spans="1:15" x14ac:dyDescent="0.2">
      <c r="A392" s="10"/>
      <c r="F392" s="7"/>
      <c r="G392" s="9"/>
      <c r="I392" s="10"/>
      <c r="N392" s="7"/>
      <c r="O392" s="9"/>
    </row>
    <row r="393" spans="1:15" x14ac:dyDescent="0.2">
      <c r="A393" s="10"/>
      <c r="F393" s="7"/>
      <c r="G393" s="9"/>
      <c r="I393" s="10"/>
      <c r="N393" s="7"/>
      <c r="O393" s="9"/>
    </row>
    <row r="394" spans="1:15" x14ac:dyDescent="0.2">
      <c r="A394" s="10"/>
      <c r="F394" s="7"/>
      <c r="G394" s="9"/>
      <c r="I394" s="10"/>
      <c r="N394" s="7"/>
      <c r="O394" s="9"/>
    </row>
    <row r="395" spans="1:15" x14ac:dyDescent="0.2">
      <c r="A395" s="10"/>
      <c r="F395" s="7"/>
      <c r="G395" s="9"/>
      <c r="I395" s="10"/>
      <c r="N395" s="7"/>
      <c r="O395" s="9"/>
    </row>
    <row r="396" spans="1:15" x14ac:dyDescent="0.2">
      <c r="A396" s="10"/>
      <c r="F396" s="7"/>
      <c r="G396" s="9"/>
      <c r="I396" s="10"/>
      <c r="N396" s="7"/>
      <c r="O396" s="9"/>
    </row>
    <row r="397" spans="1:15" x14ac:dyDescent="0.2">
      <c r="A397" s="10"/>
      <c r="F397" s="7"/>
      <c r="G397" s="9"/>
      <c r="I397" s="10"/>
      <c r="N397" s="7"/>
      <c r="O397" s="9"/>
    </row>
    <row r="398" spans="1:15" x14ac:dyDescent="0.2">
      <c r="A398" s="10"/>
      <c r="F398" s="7"/>
      <c r="G398" s="9"/>
      <c r="I398" s="10"/>
      <c r="N398" s="7"/>
      <c r="O398" s="9"/>
    </row>
    <row r="399" spans="1:15" x14ac:dyDescent="0.2">
      <c r="A399" s="10"/>
      <c r="F399" s="7"/>
      <c r="G399" s="9"/>
      <c r="I399" s="10"/>
      <c r="N399" s="7"/>
      <c r="O399" s="9"/>
    </row>
    <row r="400" spans="1:15" x14ac:dyDescent="0.2">
      <c r="A400" s="10"/>
      <c r="F400" s="7"/>
      <c r="G400" s="9"/>
      <c r="I400" s="10"/>
      <c r="N400" s="7"/>
      <c r="O400" s="9"/>
    </row>
    <row r="401" spans="1:15" x14ac:dyDescent="0.2">
      <c r="A401" s="10"/>
      <c r="F401" s="7"/>
      <c r="G401" s="9"/>
      <c r="I401" s="10"/>
      <c r="N401" s="7"/>
      <c r="O401" s="9"/>
    </row>
    <row r="402" spans="1:15" x14ac:dyDescent="0.2">
      <c r="A402" s="10"/>
      <c r="F402" s="7"/>
      <c r="G402" s="9"/>
      <c r="I402" s="10"/>
      <c r="N402" s="7"/>
      <c r="O402" s="9"/>
    </row>
    <row r="403" spans="1:15" x14ac:dyDescent="0.2">
      <c r="A403" s="10"/>
      <c r="F403" s="7"/>
      <c r="G403" s="9"/>
      <c r="I403" s="10"/>
      <c r="N403" s="7"/>
      <c r="O403" s="9"/>
    </row>
    <row r="404" spans="1:15" x14ac:dyDescent="0.2">
      <c r="A404" s="10"/>
      <c r="F404" s="7"/>
      <c r="G404" s="9"/>
      <c r="I404" s="10"/>
      <c r="N404" s="7"/>
      <c r="O404" s="9"/>
    </row>
    <row r="405" spans="1:15" x14ac:dyDescent="0.2">
      <c r="A405" s="10"/>
      <c r="F405" s="7"/>
      <c r="G405" s="9"/>
      <c r="I405" s="10"/>
      <c r="N405" s="7"/>
      <c r="O405" s="9"/>
    </row>
    <row r="406" spans="1:15" x14ac:dyDescent="0.2">
      <c r="A406" s="10"/>
      <c r="F406" s="7"/>
      <c r="G406" s="9"/>
      <c r="I406" s="10"/>
      <c r="N406" s="7"/>
      <c r="O406" s="9"/>
    </row>
    <row r="407" spans="1:15" x14ac:dyDescent="0.2">
      <c r="A407" s="10"/>
      <c r="F407" s="7"/>
      <c r="G407" s="9"/>
      <c r="I407" s="10"/>
      <c r="N407" s="7"/>
      <c r="O407" s="9"/>
    </row>
    <row r="408" spans="1:15" x14ac:dyDescent="0.2">
      <c r="A408" s="10"/>
      <c r="F408" s="7"/>
      <c r="G408" s="9"/>
      <c r="I408" s="10"/>
      <c r="N408" s="7"/>
      <c r="O408" s="9"/>
    </row>
    <row r="409" spans="1:15" x14ac:dyDescent="0.2">
      <c r="A409" s="10"/>
      <c r="F409" s="7"/>
      <c r="G409" s="9"/>
      <c r="I409" s="10"/>
      <c r="N409" s="7"/>
      <c r="O409" s="9"/>
    </row>
    <row r="410" spans="1:15" x14ac:dyDescent="0.2">
      <c r="A410" s="10"/>
      <c r="F410" s="7"/>
      <c r="G410" s="9"/>
      <c r="I410" s="10"/>
      <c r="N410" s="7"/>
      <c r="O410" s="9"/>
    </row>
    <row r="411" spans="1:15" x14ac:dyDescent="0.2">
      <c r="A411" s="10"/>
      <c r="F411" s="7"/>
      <c r="G411" s="9"/>
      <c r="I411" s="10"/>
      <c r="N411" s="7"/>
      <c r="O411" s="9"/>
    </row>
    <row r="412" spans="1:15" x14ac:dyDescent="0.2">
      <c r="A412" s="10"/>
      <c r="F412" s="7"/>
      <c r="G412" s="9"/>
      <c r="I412" s="10"/>
      <c r="N412" s="7"/>
      <c r="O412" s="9"/>
    </row>
    <row r="413" spans="1:15" x14ac:dyDescent="0.2">
      <c r="A413" s="10"/>
      <c r="F413" s="7"/>
      <c r="G413" s="9"/>
      <c r="I413" s="10"/>
      <c r="N413" s="7"/>
      <c r="O413" s="9"/>
    </row>
    <row r="414" spans="1:15" x14ac:dyDescent="0.2">
      <c r="A414" s="10"/>
      <c r="F414" s="7"/>
      <c r="G414" s="9"/>
      <c r="I414" s="10"/>
      <c r="N414" s="7"/>
      <c r="O414" s="9"/>
    </row>
    <row r="415" spans="1:15" x14ac:dyDescent="0.2">
      <c r="A415" s="10"/>
      <c r="F415" s="7"/>
      <c r="G415" s="9"/>
      <c r="I415" s="10"/>
      <c r="N415" s="7"/>
      <c r="O415" s="9"/>
    </row>
    <row r="416" spans="1:15" x14ac:dyDescent="0.2">
      <c r="A416" s="10"/>
      <c r="F416" s="7"/>
      <c r="G416" s="9"/>
      <c r="I416" s="10"/>
      <c r="N416" s="7"/>
      <c r="O416" s="9"/>
    </row>
    <row r="417" spans="1:15" x14ac:dyDescent="0.2">
      <c r="A417" s="10"/>
      <c r="F417" s="7"/>
      <c r="G417" s="9"/>
      <c r="I417" s="10"/>
      <c r="N417" s="7"/>
      <c r="O417" s="9"/>
    </row>
    <row r="418" spans="1:15" x14ac:dyDescent="0.2">
      <c r="A418" s="10"/>
      <c r="F418" s="7"/>
      <c r="G418" s="9"/>
      <c r="I418" s="10"/>
      <c r="N418" s="7"/>
      <c r="O418" s="9"/>
    </row>
    <row r="419" spans="1:15" x14ac:dyDescent="0.2">
      <c r="A419" s="10"/>
      <c r="F419" s="7"/>
      <c r="G419" s="9"/>
      <c r="I419" s="10"/>
      <c r="N419" s="7"/>
      <c r="O419" s="9"/>
    </row>
    <row r="420" spans="1:15" x14ac:dyDescent="0.2">
      <c r="A420" s="10"/>
      <c r="F420" s="7"/>
      <c r="G420" s="9"/>
      <c r="I420" s="10"/>
      <c r="N420" s="7"/>
      <c r="O420" s="9"/>
    </row>
    <row r="421" spans="1:15" x14ac:dyDescent="0.2">
      <c r="A421" s="10"/>
      <c r="F421" s="7"/>
      <c r="G421" s="9"/>
      <c r="I421" s="10"/>
      <c r="N421" s="7"/>
      <c r="O421" s="9"/>
    </row>
    <row r="422" spans="1:15" x14ac:dyDescent="0.2">
      <c r="A422" s="10"/>
      <c r="F422" s="7"/>
      <c r="G422" s="9"/>
      <c r="I422" s="10"/>
      <c r="N422" s="7"/>
      <c r="O422" s="9"/>
    </row>
    <row r="423" spans="1:15" x14ac:dyDescent="0.2">
      <c r="A423" s="10"/>
      <c r="F423" s="7"/>
      <c r="G423" s="9"/>
      <c r="I423" s="10"/>
      <c r="N423" s="7"/>
      <c r="O423" s="9"/>
    </row>
    <row r="424" spans="1:15" x14ac:dyDescent="0.2">
      <c r="A424" s="10"/>
      <c r="F424" s="7"/>
      <c r="G424" s="9"/>
      <c r="I424" s="10"/>
      <c r="N424" s="7"/>
      <c r="O424" s="9"/>
    </row>
    <row r="425" spans="1:15" x14ac:dyDescent="0.2">
      <c r="A425" s="10"/>
      <c r="F425" s="7"/>
      <c r="G425" s="9"/>
      <c r="I425" s="10"/>
      <c r="N425" s="7"/>
      <c r="O425" s="9"/>
    </row>
    <row r="426" spans="1:15" x14ac:dyDescent="0.2">
      <c r="A426" s="10"/>
      <c r="F426" s="7"/>
      <c r="G426" s="9"/>
      <c r="I426" s="10"/>
      <c r="N426" s="7"/>
      <c r="O426" s="9"/>
    </row>
    <row r="427" spans="1:15" x14ac:dyDescent="0.2">
      <c r="A427" s="10"/>
      <c r="F427" s="7"/>
      <c r="G427" s="9"/>
      <c r="I427" s="10"/>
      <c r="N427" s="7"/>
      <c r="O427" s="9"/>
    </row>
    <row r="428" spans="1:15" x14ac:dyDescent="0.2">
      <c r="A428" s="10"/>
      <c r="F428" s="7"/>
      <c r="G428" s="9"/>
      <c r="I428" s="10"/>
      <c r="N428" s="7"/>
      <c r="O428" s="9"/>
    </row>
    <row r="429" spans="1:15" x14ac:dyDescent="0.2">
      <c r="A429" s="10"/>
      <c r="F429" s="7"/>
      <c r="G429" s="9"/>
      <c r="I429" s="10"/>
      <c r="N429" s="7"/>
      <c r="O429" s="9"/>
    </row>
    <row r="430" spans="1:15" x14ac:dyDescent="0.2">
      <c r="A430" s="10"/>
      <c r="F430" s="7"/>
      <c r="G430" s="9"/>
      <c r="I430" s="10"/>
      <c r="N430" s="7"/>
      <c r="O430" s="9"/>
    </row>
    <row r="431" spans="1:15" x14ac:dyDescent="0.2">
      <c r="A431" s="10"/>
      <c r="F431" s="7"/>
      <c r="G431" s="9"/>
      <c r="I431" s="10"/>
      <c r="N431" s="7"/>
      <c r="O431" s="9"/>
    </row>
    <row r="432" spans="1:15" x14ac:dyDescent="0.2">
      <c r="A432" s="10"/>
      <c r="F432" s="7"/>
      <c r="G432" s="9"/>
      <c r="I432" s="10"/>
      <c r="N432" s="7"/>
      <c r="O432" s="9"/>
    </row>
    <row r="433" spans="1:15" x14ac:dyDescent="0.2">
      <c r="A433" s="10"/>
      <c r="F433" s="7"/>
      <c r="G433" s="9"/>
      <c r="I433" s="10"/>
      <c r="N433" s="7"/>
      <c r="O433" s="9"/>
    </row>
    <row r="434" spans="1:15" x14ac:dyDescent="0.2">
      <c r="A434" s="10"/>
      <c r="F434" s="7"/>
      <c r="G434" s="9"/>
      <c r="I434" s="10"/>
      <c r="N434" s="7"/>
      <c r="O434" s="9"/>
    </row>
    <row r="435" spans="1:15" x14ac:dyDescent="0.2">
      <c r="A435" s="10"/>
      <c r="F435" s="7"/>
      <c r="G435" s="9"/>
      <c r="I435" s="10"/>
      <c r="N435" s="7"/>
      <c r="O435" s="9"/>
    </row>
    <row r="436" spans="1:15" x14ac:dyDescent="0.2">
      <c r="A436" s="10"/>
      <c r="F436" s="7"/>
      <c r="G436" s="9"/>
      <c r="I436" s="10"/>
      <c r="N436" s="7"/>
      <c r="O436" s="9"/>
    </row>
    <row r="437" spans="1:15" x14ac:dyDescent="0.2">
      <c r="A437" s="10"/>
      <c r="F437" s="7"/>
      <c r="G437" s="9"/>
      <c r="I437" s="10"/>
      <c r="N437" s="7"/>
      <c r="O437" s="9"/>
    </row>
    <row r="438" spans="1:15" x14ac:dyDescent="0.2">
      <c r="A438" s="10"/>
      <c r="F438" s="7"/>
      <c r="G438" s="9"/>
      <c r="I438" s="10"/>
      <c r="N438" s="7"/>
      <c r="O438" s="9"/>
    </row>
    <row r="439" spans="1:15" x14ac:dyDescent="0.2">
      <c r="A439" s="10"/>
      <c r="F439" s="7"/>
      <c r="G439" s="9"/>
      <c r="I439" s="10"/>
      <c r="N439" s="7"/>
      <c r="O439" s="9"/>
    </row>
    <row r="440" spans="1:15" x14ac:dyDescent="0.2">
      <c r="A440" s="10"/>
      <c r="F440" s="7"/>
      <c r="G440" s="9"/>
      <c r="I440" s="10"/>
      <c r="N440" s="7"/>
      <c r="O440" s="9"/>
    </row>
    <row r="441" spans="1:15" x14ac:dyDescent="0.2">
      <c r="A441" s="10"/>
      <c r="F441" s="7"/>
      <c r="G441" s="9"/>
      <c r="I441" s="10"/>
      <c r="N441" s="7"/>
      <c r="O441" s="9"/>
    </row>
    <row r="442" spans="1:15" x14ac:dyDescent="0.2">
      <c r="A442" s="10"/>
      <c r="F442" s="7"/>
      <c r="G442" s="9"/>
      <c r="I442" s="10"/>
      <c r="N442" s="7"/>
      <c r="O442" s="9"/>
    </row>
    <row r="443" spans="1:15" x14ac:dyDescent="0.2">
      <c r="A443" s="10"/>
      <c r="F443" s="7"/>
      <c r="G443" s="9"/>
      <c r="I443" s="10"/>
      <c r="N443" s="7"/>
      <c r="O443" s="9"/>
    </row>
    <row r="444" spans="1:15" x14ac:dyDescent="0.2">
      <c r="A444" s="10"/>
      <c r="F444" s="7"/>
      <c r="G444" s="9"/>
      <c r="I444" s="10"/>
      <c r="N444" s="7"/>
      <c r="O444" s="9"/>
    </row>
    <row r="445" spans="1:15" x14ac:dyDescent="0.2">
      <c r="A445" s="10"/>
      <c r="F445" s="7"/>
      <c r="G445" s="9"/>
      <c r="I445" s="10"/>
      <c r="N445" s="7"/>
      <c r="O445" s="9"/>
    </row>
    <row r="446" spans="1:15" x14ac:dyDescent="0.2">
      <c r="A446" s="10"/>
      <c r="F446" s="7"/>
      <c r="G446" s="9"/>
      <c r="I446" s="10"/>
      <c r="N446" s="7"/>
      <c r="O446" s="9"/>
    </row>
    <row r="447" spans="1:15" x14ac:dyDescent="0.2">
      <c r="A447" s="10"/>
      <c r="F447" s="7"/>
      <c r="G447" s="9"/>
      <c r="I447" s="10"/>
      <c r="N447" s="7"/>
      <c r="O447" s="9"/>
    </row>
    <row r="448" spans="1:15" x14ac:dyDescent="0.2">
      <c r="A448" s="10"/>
      <c r="F448" s="7"/>
      <c r="G448" s="9"/>
      <c r="I448" s="10"/>
      <c r="N448" s="7"/>
      <c r="O448" s="9"/>
    </row>
    <row r="449" spans="1:15" x14ac:dyDescent="0.2">
      <c r="A449" s="10"/>
      <c r="F449" s="7"/>
      <c r="G449" s="9"/>
      <c r="I449" s="10"/>
      <c r="N449" s="7"/>
      <c r="O449" s="9"/>
    </row>
    <row r="450" spans="1:15" x14ac:dyDescent="0.2">
      <c r="A450" s="10"/>
      <c r="F450" s="7"/>
      <c r="G450" s="9"/>
      <c r="I450" s="10"/>
      <c r="N450" s="7"/>
      <c r="O450" s="9"/>
    </row>
    <row r="451" spans="1:15" x14ac:dyDescent="0.2">
      <c r="A451" s="10"/>
      <c r="F451" s="7"/>
      <c r="G451" s="9"/>
      <c r="I451" s="10"/>
      <c r="N451" s="7"/>
      <c r="O451" s="9"/>
    </row>
    <row r="452" spans="1:15" x14ac:dyDescent="0.2">
      <c r="A452" s="10"/>
      <c r="F452" s="7"/>
      <c r="G452" s="9"/>
      <c r="I452" s="10"/>
      <c r="N452" s="7"/>
      <c r="O452" s="9"/>
    </row>
    <row r="453" spans="1:15" x14ac:dyDescent="0.2">
      <c r="A453" s="10"/>
      <c r="F453" s="7"/>
      <c r="G453" s="9"/>
      <c r="I453" s="10"/>
      <c r="N453" s="7"/>
      <c r="O453" s="9"/>
    </row>
    <row r="454" spans="1:15" x14ac:dyDescent="0.2">
      <c r="A454" s="10"/>
      <c r="F454" s="7"/>
      <c r="G454" s="9"/>
      <c r="I454" s="10"/>
      <c r="N454" s="7"/>
      <c r="O454" s="9"/>
    </row>
    <row r="455" spans="1:15" x14ac:dyDescent="0.2">
      <c r="A455" s="10"/>
      <c r="F455" s="7"/>
      <c r="G455" s="9"/>
      <c r="I455" s="10"/>
      <c r="N455" s="7"/>
      <c r="O455" s="9"/>
    </row>
    <row r="456" spans="1:15" x14ac:dyDescent="0.2">
      <c r="A456" s="10"/>
      <c r="F456" s="7"/>
      <c r="G456" s="9"/>
      <c r="I456" s="10"/>
      <c r="N456" s="7"/>
      <c r="O456" s="9"/>
    </row>
    <row r="457" spans="1:15" x14ac:dyDescent="0.2">
      <c r="A457" s="10"/>
      <c r="F457" s="7"/>
      <c r="G457" s="9"/>
      <c r="I457" s="10"/>
      <c r="N457" s="7"/>
      <c r="O457" s="9"/>
    </row>
    <row r="458" spans="1:15" x14ac:dyDescent="0.2">
      <c r="A458" s="10"/>
      <c r="F458" s="7"/>
      <c r="G458" s="9"/>
      <c r="I458" s="10"/>
      <c r="N458" s="7"/>
      <c r="O458" s="9"/>
    </row>
    <row r="459" spans="1:15" x14ac:dyDescent="0.2">
      <c r="A459" s="10"/>
      <c r="F459" s="7"/>
      <c r="G459" s="9"/>
      <c r="I459" s="10"/>
      <c r="N459" s="7"/>
      <c r="O459" s="9"/>
    </row>
    <row r="460" spans="1:15" x14ac:dyDescent="0.2">
      <c r="A460" s="10"/>
      <c r="F460" s="7"/>
      <c r="G460" s="9"/>
      <c r="I460" s="10"/>
      <c r="N460" s="7"/>
      <c r="O460" s="9"/>
    </row>
    <row r="461" spans="1:15" x14ac:dyDescent="0.2">
      <c r="A461" s="10"/>
      <c r="F461" s="7"/>
      <c r="G461" s="9"/>
      <c r="I461" s="10"/>
      <c r="N461" s="7"/>
      <c r="O461" s="9"/>
    </row>
    <row r="462" spans="1:15" x14ac:dyDescent="0.2">
      <c r="A462" s="10"/>
      <c r="F462" s="7"/>
      <c r="G462" s="9"/>
      <c r="I462" s="10"/>
      <c r="N462" s="7"/>
      <c r="O462" s="9"/>
    </row>
    <row r="463" spans="1:15" x14ac:dyDescent="0.2">
      <c r="A463" s="10"/>
      <c r="F463" s="7"/>
      <c r="G463" s="9"/>
      <c r="I463" s="10"/>
      <c r="N463" s="7"/>
      <c r="O463" s="9"/>
    </row>
    <row r="464" spans="1:15" x14ac:dyDescent="0.2">
      <c r="A464" s="10"/>
      <c r="F464" s="7"/>
      <c r="G464" s="9"/>
      <c r="I464" s="10"/>
      <c r="N464" s="7"/>
      <c r="O464" s="9"/>
    </row>
    <row r="465" spans="1:15" x14ac:dyDescent="0.2">
      <c r="A465" s="10"/>
      <c r="F465" s="7"/>
      <c r="G465" s="9"/>
      <c r="I465" s="10"/>
      <c r="N465" s="7"/>
      <c r="O465" s="9"/>
    </row>
    <row r="466" spans="1:15" x14ac:dyDescent="0.2">
      <c r="A466" s="10"/>
      <c r="F466" s="7"/>
      <c r="G466" s="9"/>
      <c r="I466" s="10"/>
      <c r="N466" s="7"/>
      <c r="O466" s="9"/>
    </row>
    <row r="467" spans="1:15" x14ac:dyDescent="0.2">
      <c r="A467" s="10"/>
      <c r="F467" s="7"/>
      <c r="G467" s="9"/>
      <c r="I467" s="10"/>
      <c r="N467" s="7"/>
      <c r="O467" s="9"/>
    </row>
    <row r="468" spans="1:15" x14ac:dyDescent="0.2">
      <c r="A468" s="10"/>
      <c r="F468" s="7"/>
      <c r="G468" s="9"/>
      <c r="I468" s="10"/>
      <c r="N468" s="7"/>
      <c r="O468" s="9"/>
    </row>
    <row r="469" spans="1:15" x14ac:dyDescent="0.2">
      <c r="A469" s="10"/>
      <c r="F469" s="7"/>
      <c r="G469" s="9"/>
      <c r="I469" s="10"/>
      <c r="N469" s="7"/>
      <c r="O469" s="9"/>
    </row>
    <row r="470" spans="1:15" x14ac:dyDescent="0.2">
      <c r="A470" s="10"/>
      <c r="F470" s="7"/>
      <c r="G470" s="9"/>
      <c r="I470" s="10"/>
      <c r="N470" s="7"/>
      <c r="O470" s="9"/>
    </row>
    <row r="471" spans="1:15" x14ac:dyDescent="0.2">
      <c r="A471" s="10"/>
      <c r="F471" s="7"/>
      <c r="G471" s="9"/>
      <c r="I471" s="10"/>
      <c r="N471" s="7"/>
      <c r="O471" s="9"/>
    </row>
    <row r="472" spans="1:15" x14ac:dyDescent="0.2">
      <c r="A472" s="10"/>
      <c r="F472" s="7"/>
      <c r="G472" s="9"/>
      <c r="I472" s="10"/>
      <c r="N472" s="7"/>
      <c r="O472" s="9"/>
    </row>
    <row r="473" spans="1:15" x14ac:dyDescent="0.2">
      <c r="A473" s="10"/>
      <c r="F473" s="7"/>
      <c r="G473" s="9"/>
      <c r="I473" s="10"/>
      <c r="N473" s="7"/>
      <c r="O473" s="9"/>
    </row>
    <row r="474" spans="1:15" x14ac:dyDescent="0.2">
      <c r="A474" s="10"/>
      <c r="F474" s="7"/>
      <c r="G474" s="9"/>
      <c r="I474" s="10"/>
      <c r="N474" s="7"/>
      <c r="O474" s="9"/>
    </row>
    <row r="475" spans="1:15" x14ac:dyDescent="0.2">
      <c r="A475" s="10"/>
      <c r="F475" s="7"/>
      <c r="G475" s="9"/>
      <c r="I475" s="10"/>
      <c r="N475" s="7"/>
      <c r="O475" s="9"/>
    </row>
    <row r="476" spans="1:15" x14ac:dyDescent="0.2">
      <c r="A476" s="10"/>
      <c r="F476" s="7"/>
      <c r="G476" s="9"/>
      <c r="I476" s="10"/>
      <c r="N476" s="7"/>
      <c r="O476" s="9"/>
    </row>
    <row r="477" spans="1:15" x14ac:dyDescent="0.2">
      <c r="A477" s="10"/>
      <c r="F477" s="7"/>
      <c r="G477" s="9"/>
      <c r="I477" s="10"/>
      <c r="N477" s="7"/>
      <c r="O477" s="9"/>
    </row>
    <row r="478" spans="1:15" x14ac:dyDescent="0.2">
      <c r="A478" s="10"/>
      <c r="F478" s="7"/>
      <c r="G478" s="9"/>
      <c r="I478" s="10"/>
      <c r="N478" s="7"/>
      <c r="O478" s="9"/>
    </row>
    <row r="479" spans="1:15" x14ac:dyDescent="0.2">
      <c r="A479" s="10"/>
      <c r="F479" s="7"/>
      <c r="G479" s="9"/>
      <c r="I479" s="10"/>
      <c r="N479" s="7"/>
      <c r="O479" s="9"/>
    </row>
    <row r="480" spans="1:15" x14ac:dyDescent="0.2">
      <c r="A480" s="10"/>
      <c r="F480" s="7"/>
      <c r="G480" s="9"/>
      <c r="I480" s="10"/>
      <c r="N480" s="7"/>
      <c r="O480" s="9"/>
    </row>
    <row r="481" spans="1:15" x14ac:dyDescent="0.2">
      <c r="A481" s="10"/>
      <c r="F481" s="7"/>
      <c r="G481" s="9"/>
      <c r="I481" s="10"/>
      <c r="N481" s="7"/>
      <c r="O481" s="9"/>
    </row>
    <row r="482" spans="1:15" x14ac:dyDescent="0.2">
      <c r="A482" s="10"/>
      <c r="F482" s="7"/>
      <c r="G482" s="9"/>
      <c r="I482" s="10"/>
      <c r="N482" s="7"/>
      <c r="O482" s="9"/>
    </row>
    <row r="483" spans="1:15" x14ac:dyDescent="0.2">
      <c r="A483" s="10"/>
      <c r="F483" s="7"/>
      <c r="G483" s="9"/>
      <c r="I483" s="10"/>
      <c r="N483" s="7"/>
      <c r="O483" s="9"/>
    </row>
    <row r="484" spans="1:15" x14ac:dyDescent="0.2">
      <c r="A484" s="10"/>
      <c r="F484" s="7"/>
      <c r="G484" s="9"/>
      <c r="I484" s="10"/>
      <c r="N484" s="7"/>
      <c r="O484" s="9"/>
    </row>
    <row r="485" spans="1:15" x14ac:dyDescent="0.2">
      <c r="A485" s="10"/>
      <c r="F485" s="7"/>
      <c r="G485" s="9"/>
      <c r="I485" s="10"/>
      <c r="N485" s="7"/>
      <c r="O485" s="9"/>
    </row>
    <row r="486" spans="1:15" x14ac:dyDescent="0.2">
      <c r="A486" s="10"/>
      <c r="F486" s="7"/>
      <c r="G486" s="9"/>
      <c r="I486" s="10"/>
      <c r="N486" s="7"/>
      <c r="O486" s="9"/>
    </row>
    <row r="487" spans="1:15" x14ac:dyDescent="0.2">
      <c r="A487" s="10"/>
      <c r="F487" s="7"/>
      <c r="G487" s="9"/>
      <c r="I487" s="10"/>
      <c r="N487" s="7"/>
      <c r="O487" s="9"/>
    </row>
    <row r="488" spans="1:15" x14ac:dyDescent="0.2">
      <c r="A488" s="10"/>
      <c r="F488" s="7"/>
      <c r="G488" s="9"/>
      <c r="I488" s="10"/>
      <c r="N488" s="7"/>
      <c r="O488" s="9"/>
    </row>
    <row r="489" spans="1:15" x14ac:dyDescent="0.2">
      <c r="A489" s="10"/>
      <c r="F489" s="7"/>
      <c r="G489" s="9"/>
      <c r="I489" s="10"/>
      <c r="N489" s="7"/>
      <c r="O489" s="9"/>
    </row>
    <row r="490" spans="1:15" x14ac:dyDescent="0.2">
      <c r="A490" s="10"/>
      <c r="F490" s="7"/>
      <c r="G490" s="9"/>
      <c r="I490" s="10"/>
      <c r="N490" s="7"/>
      <c r="O490" s="9"/>
    </row>
    <row r="491" spans="1:15" x14ac:dyDescent="0.2">
      <c r="A491" s="10"/>
      <c r="F491" s="7"/>
      <c r="G491" s="9"/>
      <c r="I491" s="10"/>
      <c r="N491" s="7"/>
      <c r="O491" s="9"/>
    </row>
    <row r="492" spans="1:15" x14ac:dyDescent="0.2">
      <c r="A492" s="10"/>
      <c r="F492" s="7"/>
      <c r="G492" s="9"/>
      <c r="I492" s="10"/>
      <c r="N492" s="7"/>
      <c r="O492" s="9"/>
    </row>
    <row r="493" spans="1:15" x14ac:dyDescent="0.2">
      <c r="A493" s="10"/>
      <c r="F493" s="7"/>
      <c r="G493" s="9"/>
      <c r="I493" s="10"/>
      <c r="N493" s="7"/>
      <c r="O493" s="9"/>
    </row>
    <row r="494" spans="1:15" x14ac:dyDescent="0.2">
      <c r="A494" s="10"/>
      <c r="F494" s="7"/>
      <c r="G494" s="9"/>
      <c r="I494" s="10"/>
      <c r="N494" s="7"/>
      <c r="O494" s="9"/>
    </row>
    <row r="495" spans="1:15" x14ac:dyDescent="0.2">
      <c r="A495" s="10"/>
      <c r="F495" s="7"/>
      <c r="G495" s="9"/>
      <c r="I495" s="10"/>
      <c r="N495" s="7"/>
      <c r="O495" s="9"/>
    </row>
    <row r="496" spans="1:15" x14ac:dyDescent="0.2">
      <c r="A496" s="10"/>
      <c r="F496" s="7"/>
      <c r="G496" s="9"/>
      <c r="I496" s="10"/>
      <c r="N496" s="7"/>
      <c r="O496" s="9"/>
    </row>
    <row r="497" spans="1:15" x14ac:dyDescent="0.2">
      <c r="A497" s="10"/>
      <c r="F497" s="7"/>
      <c r="G497" s="9"/>
      <c r="I497" s="10"/>
      <c r="N497" s="7"/>
      <c r="O497" s="9"/>
    </row>
    <row r="498" spans="1:15" x14ac:dyDescent="0.2">
      <c r="A498" s="10"/>
      <c r="F498" s="7"/>
      <c r="G498" s="9"/>
      <c r="I498" s="10"/>
      <c r="N498" s="7"/>
      <c r="O498" s="9"/>
    </row>
    <row r="499" spans="1:15" x14ac:dyDescent="0.2">
      <c r="A499" s="10"/>
      <c r="F499" s="7"/>
      <c r="G499" s="9"/>
      <c r="I499" s="10"/>
      <c r="N499" s="7"/>
      <c r="O499" s="9"/>
    </row>
    <row r="500" spans="1:15" x14ac:dyDescent="0.2">
      <c r="A500" s="10"/>
      <c r="F500" s="7"/>
      <c r="G500" s="9"/>
      <c r="I500" s="10"/>
      <c r="N500" s="7"/>
      <c r="O500" s="9"/>
    </row>
    <row r="501" spans="1:15" x14ac:dyDescent="0.2">
      <c r="A501" s="10"/>
      <c r="F501" s="7"/>
      <c r="G501" s="9"/>
      <c r="I501" s="10"/>
      <c r="N501" s="7"/>
      <c r="O501" s="9"/>
    </row>
    <row r="502" spans="1:15" x14ac:dyDescent="0.2">
      <c r="A502" s="10"/>
      <c r="F502" s="7"/>
      <c r="G502" s="9"/>
      <c r="I502" s="10"/>
      <c r="N502" s="7"/>
      <c r="O502" s="9"/>
    </row>
    <row r="503" spans="1:15" x14ac:dyDescent="0.2">
      <c r="A503" s="10"/>
      <c r="F503" s="7"/>
      <c r="G503" s="9"/>
      <c r="I503" s="10"/>
      <c r="N503" s="7"/>
      <c r="O503" s="9"/>
    </row>
    <row r="504" spans="1:15" x14ac:dyDescent="0.2">
      <c r="A504" s="10"/>
      <c r="F504" s="7"/>
      <c r="G504" s="9"/>
      <c r="I504" s="10"/>
      <c r="N504" s="7"/>
      <c r="O504" s="9"/>
    </row>
    <row r="505" spans="1:15" x14ac:dyDescent="0.2">
      <c r="A505" s="10"/>
      <c r="F505" s="7"/>
      <c r="G505" s="9"/>
      <c r="I505" s="10"/>
      <c r="N505" s="7"/>
      <c r="O505" s="9"/>
    </row>
    <row r="506" spans="1:15" x14ac:dyDescent="0.2">
      <c r="A506" s="10"/>
      <c r="F506" s="7"/>
      <c r="G506" s="9"/>
      <c r="I506" s="10"/>
      <c r="N506" s="7"/>
      <c r="O506" s="9"/>
    </row>
    <row r="507" spans="1:15" x14ac:dyDescent="0.2">
      <c r="A507" s="10"/>
      <c r="F507" s="7"/>
      <c r="G507" s="9"/>
      <c r="I507" s="10"/>
      <c r="N507" s="7"/>
      <c r="O507" s="9"/>
    </row>
    <row r="508" spans="1:15" x14ac:dyDescent="0.2">
      <c r="A508" s="10"/>
      <c r="F508" s="7"/>
      <c r="G508" s="9"/>
      <c r="I508" s="10"/>
      <c r="N508" s="7"/>
      <c r="O508" s="9"/>
    </row>
    <row r="509" spans="1:15" x14ac:dyDescent="0.2">
      <c r="A509" s="10"/>
      <c r="F509" s="7"/>
      <c r="G509" s="9"/>
      <c r="I509" s="10"/>
      <c r="N509" s="7"/>
      <c r="O509" s="9"/>
    </row>
    <row r="510" spans="1:15" x14ac:dyDescent="0.2">
      <c r="A510" s="10"/>
      <c r="F510" s="7"/>
      <c r="G510" s="9"/>
      <c r="I510" s="10"/>
      <c r="N510" s="7"/>
      <c r="O510" s="9"/>
    </row>
    <row r="511" spans="1:15" x14ac:dyDescent="0.2">
      <c r="A511" s="10"/>
      <c r="F511" s="7"/>
      <c r="G511" s="9"/>
      <c r="I511" s="10"/>
      <c r="N511" s="7"/>
      <c r="O511" s="9"/>
    </row>
    <row r="512" spans="1:15" x14ac:dyDescent="0.2">
      <c r="A512" s="10"/>
      <c r="F512" s="7"/>
      <c r="G512" s="9"/>
      <c r="I512" s="10"/>
      <c r="N512" s="7"/>
      <c r="O512" s="9"/>
    </row>
    <row r="513" spans="1:15" x14ac:dyDescent="0.2">
      <c r="A513" s="10"/>
      <c r="F513" s="7"/>
      <c r="G513" s="9"/>
      <c r="I513" s="10"/>
      <c r="N513" s="7"/>
      <c r="O513" s="9"/>
    </row>
    <row r="514" spans="1:15" x14ac:dyDescent="0.2">
      <c r="A514" s="10"/>
      <c r="F514" s="7"/>
      <c r="G514" s="9"/>
      <c r="I514" s="10"/>
      <c r="N514" s="7"/>
      <c r="O514" s="9"/>
    </row>
    <row r="515" spans="1:15" x14ac:dyDescent="0.2">
      <c r="A515" s="10"/>
      <c r="F515" s="7"/>
      <c r="G515" s="9"/>
      <c r="I515" s="10"/>
      <c r="N515" s="7"/>
      <c r="O515" s="9"/>
    </row>
    <row r="516" spans="1:15" x14ac:dyDescent="0.2">
      <c r="A516" s="10"/>
      <c r="F516" s="7"/>
      <c r="G516" s="9"/>
      <c r="I516" s="10"/>
      <c r="N516" s="7"/>
      <c r="O516" s="9"/>
    </row>
    <row r="517" spans="1:15" x14ac:dyDescent="0.2">
      <c r="A517" s="10"/>
      <c r="F517" s="7"/>
      <c r="G517" s="9"/>
      <c r="I517" s="10"/>
      <c r="N517" s="7"/>
      <c r="O517" s="9"/>
    </row>
    <row r="518" spans="1:15" x14ac:dyDescent="0.2">
      <c r="A518" s="10"/>
      <c r="F518" s="7"/>
      <c r="G518" s="9"/>
      <c r="I518" s="10"/>
      <c r="N518" s="7"/>
      <c r="O518" s="9"/>
    </row>
    <row r="519" spans="1:15" x14ac:dyDescent="0.2">
      <c r="A519" s="10"/>
      <c r="F519" s="7"/>
      <c r="G519" s="9"/>
      <c r="I519" s="10"/>
      <c r="N519" s="7"/>
      <c r="O519" s="9"/>
    </row>
    <row r="520" spans="1:15" x14ac:dyDescent="0.2">
      <c r="A520" s="10"/>
      <c r="F520" s="7"/>
      <c r="G520" s="9"/>
      <c r="I520" s="10"/>
      <c r="N520" s="7"/>
      <c r="O520" s="9"/>
    </row>
    <row r="521" spans="1:15" x14ac:dyDescent="0.2">
      <c r="A521" s="10"/>
      <c r="F521" s="7"/>
      <c r="G521" s="9"/>
      <c r="I521" s="10"/>
      <c r="N521" s="7"/>
      <c r="O521" s="9"/>
    </row>
    <row r="522" spans="1:15" x14ac:dyDescent="0.2">
      <c r="A522" s="10"/>
      <c r="F522" s="7"/>
      <c r="G522" s="9"/>
      <c r="I522" s="10"/>
      <c r="N522" s="7"/>
      <c r="O522" s="9"/>
    </row>
    <row r="523" spans="1:15" x14ac:dyDescent="0.2">
      <c r="A523" s="10"/>
      <c r="F523" s="7"/>
      <c r="G523" s="9"/>
      <c r="I523" s="10"/>
      <c r="N523" s="7"/>
      <c r="O523" s="9"/>
    </row>
    <row r="524" spans="1:15" x14ac:dyDescent="0.2">
      <c r="A524" s="10"/>
      <c r="F524" s="7"/>
      <c r="G524" s="9"/>
      <c r="I524" s="10"/>
      <c r="N524" s="7"/>
      <c r="O524" s="9"/>
    </row>
    <row r="525" spans="1:15" x14ac:dyDescent="0.2">
      <c r="A525" s="10"/>
      <c r="F525" s="7"/>
      <c r="G525" s="9"/>
      <c r="I525" s="10"/>
      <c r="N525" s="7"/>
      <c r="O525" s="9"/>
    </row>
    <row r="526" spans="1:15" x14ac:dyDescent="0.2">
      <c r="A526" s="10"/>
      <c r="F526" s="7"/>
      <c r="G526" s="9"/>
      <c r="I526" s="10"/>
      <c r="N526" s="7"/>
      <c r="O526" s="9"/>
    </row>
    <row r="527" spans="1:15" x14ac:dyDescent="0.2">
      <c r="A527" s="10"/>
      <c r="F527" s="7"/>
      <c r="G527" s="9"/>
      <c r="I527" s="10"/>
      <c r="N527" s="7"/>
      <c r="O527" s="9"/>
    </row>
    <row r="528" spans="1:15" x14ac:dyDescent="0.2">
      <c r="A528" s="10"/>
      <c r="F528" s="7"/>
      <c r="G528" s="9"/>
      <c r="I528" s="10"/>
      <c r="N528" s="7"/>
      <c r="O528" s="9"/>
    </row>
    <row r="529" spans="1:15" x14ac:dyDescent="0.2">
      <c r="A529" s="10"/>
      <c r="F529" s="7"/>
      <c r="G529" s="9"/>
      <c r="I529" s="10"/>
      <c r="N529" s="7"/>
      <c r="O529" s="9"/>
    </row>
    <row r="530" spans="1:15" x14ac:dyDescent="0.2">
      <c r="A530" s="10"/>
      <c r="F530" s="7"/>
      <c r="G530" s="9"/>
      <c r="I530" s="10"/>
      <c r="N530" s="7"/>
      <c r="O530" s="9"/>
    </row>
    <row r="531" spans="1:15" x14ac:dyDescent="0.2">
      <c r="A531" s="10"/>
      <c r="F531" s="7"/>
      <c r="G531" s="9"/>
      <c r="I531" s="10"/>
      <c r="N531" s="7"/>
      <c r="O531" s="9"/>
    </row>
    <row r="532" spans="1:15" x14ac:dyDescent="0.2">
      <c r="A532" s="10"/>
      <c r="F532" s="7"/>
      <c r="G532" s="9"/>
      <c r="I532" s="10"/>
      <c r="N532" s="7"/>
      <c r="O532" s="9"/>
    </row>
    <row r="533" spans="1:15" x14ac:dyDescent="0.2">
      <c r="A533" s="10"/>
      <c r="F533" s="7"/>
      <c r="G533" s="9"/>
      <c r="I533" s="10"/>
      <c r="N533" s="7"/>
      <c r="O533" s="9"/>
    </row>
    <row r="534" spans="1:15" x14ac:dyDescent="0.2">
      <c r="A534" s="10"/>
      <c r="F534" s="7"/>
      <c r="G534" s="9"/>
      <c r="I534" s="10"/>
      <c r="N534" s="7"/>
      <c r="O534" s="9"/>
    </row>
    <row r="535" spans="1:15" x14ac:dyDescent="0.2">
      <c r="A535" s="10"/>
      <c r="F535" s="7"/>
      <c r="G535" s="9"/>
      <c r="I535" s="10"/>
      <c r="N535" s="7"/>
      <c r="O535" s="9"/>
    </row>
    <row r="536" spans="1:15" x14ac:dyDescent="0.2">
      <c r="A536" s="10"/>
      <c r="F536" s="7"/>
      <c r="G536" s="9"/>
      <c r="I536" s="10"/>
      <c r="N536" s="7"/>
      <c r="O536" s="9"/>
    </row>
    <row r="537" spans="1:15" x14ac:dyDescent="0.2">
      <c r="A537" s="10"/>
      <c r="F537" s="7"/>
      <c r="G537" s="9"/>
      <c r="I537" s="10"/>
      <c r="N537" s="7"/>
      <c r="O537" s="9"/>
    </row>
    <row r="538" spans="1:15" x14ac:dyDescent="0.2">
      <c r="A538" s="10"/>
      <c r="F538" s="7"/>
      <c r="G538" s="9"/>
      <c r="I538" s="10"/>
      <c r="N538" s="7"/>
      <c r="O538" s="9"/>
    </row>
    <row r="539" spans="1:15" x14ac:dyDescent="0.2">
      <c r="A539" s="10"/>
      <c r="F539" s="7"/>
      <c r="G539" s="9"/>
      <c r="I539" s="10"/>
      <c r="N539" s="7"/>
      <c r="O539" s="9"/>
    </row>
    <row r="540" spans="1:15" x14ac:dyDescent="0.2">
      <c r="A540" s="10"/>
      <c r="F540" s="7"/>
      <c r="G540" s="9"/>
      <c r="I540" s="10"/>
      <c r="N540" s="7"/>
      <c r="O540" s="9"/>
    </row>
    <row r="541" spans="1:15" x14ac:dyDescent="0.2">
      <c r="A541" s="10"/>
      <c r="F541" s="7"/>
      <c r="G541" s="9"/>
      <c r="I541" s="10"/>
      <c r="N541" s="7"/>
      <c r="O541" s="9"/>
    </row>
    <row r="542" spans="1:15" x14ac:dyDescent="0.2">
      <c r="A542" s="10"/>
      <c r="F542" s="7"/>
      <c r="G542" s="9"/>
      <c r="I542" s="10"/>
      <c r="N542" s="7"/>
      <c r="O542" s="9"/>
    </row>
    <row r="543" spans="1:15" x14ac:dyDescent="0.2">
      <c r="A543" s="10"/>
      <c r="F543" s="7"/>
      <c r="G543" s="9"/>
      <c r="I543" s="10"/>
      <c r="N543" s="7"/>
      <c r="O543" s="9"/>
    </row>
    <row r="544" spans="1:15" x14ac:dyDescent="0.2">
      <c r="A544" s="10"/>
      <c r="F544" s="7"/>
      <c r="G544" s="9"/>
      <c r="I544" s="10"/>
      <c r="N544" s="7"/>
      <c r="O544" s="9"/>
    </row>
    <row r="545" spans="1:15" x14ac:dyDescent="0.2">
      <c r="A545" s="10"/>
      <c r="F545" s="7"/>
      <c r="G545" s="9"/>
      <c r="I545" s="10"/>
      <c r="N545" s="7"/>
      <c r="O545" s="9"/>
    </row>
    <row r="546" spans="1:15" x14ac:dyDescent="0.2">
      <c r="A546" s="10"/>
      <c r="F546" s="7"/>
      <c r="G546" s="9"/>
      <c r="I546" s="10"/>
      <c r="N546" s="7"/>
      <c r="O546" s="9"/>
    </row>
    <row r="547" spans="1:15" x14ac:dyDescent="0.2">
      <c r="A547" s="10"/>
      <c r="F547" s="7"/>
      <c r="G547" s="9"/>
      <c r="I547" s="10"/>
      <c r="N547" s="7"/>
      <c r="O547" s="9"/>
    </row>
    <row r="548" spans="1:15" x14ac:dyDescent="0.2">
      <c r="A548" s="10"/>
      <c r="F548" s="7"/>
      <c r="G548" s="9"/>
      <c r="I548" s="10"/>
      <c r="N548" s="7"/>
      <c r="O548" s="9"/>
    </row>
    <row r="549" spans="1:15" x14ac:dyDescent="0.2">
      <c r="A549" s="10"/>
      <c r="F549" s="7"/>
      <c r="G549" s="9"/>
      <c r="I549" s="10"/>
      <c r="N549" s="7"/>
      <c r="O549" s="9"/>
    </row>
    <row r="550" spans="1:15" x14ac:dyDescent="0.2">
      <c r="A550" s="10"/>
      <c r="F550" s="7"/>
      <c r="G550" s="9"/>
      <c r="I550" s="10"/>
      <c r="N550" s="7"/>
      <c r="O550" s="9"/>
    </row>
    <row r="551" spans="1:15" x14ac:dyDescent="0.2">
      <c r="A551" s="10"/>
      <c r="F551" s="7"/>
      <c r="G551" s="9"/>
      <c r="I551" s="10"/>
      <c r="N551" s="7"/>
      <c r="O551" s="9"/>
    </row>
    <row r="552" spans="1:15" x14ac:dyDescent="0.2">
      <c r="A552" s="10"/>
      <c r="F552" s="7"/>
      <c r="G552" s="9"/>
      <c r="I552" s="10"/>
      <c r="N552" s="7"/>
      <c r="O552" s="9"/>
    </row>
    <row r="553" spans="1:15" x14ac:dyDescent="0.2">
      <c r="A553" s="10"/>
      <c r="F553" s="7"/>
      <c r="G553" s="9"/>
      <c r="I553" s="10"/>
      <c r="N553" s="7"/>
      <c r="O553" s="9"/>
    </row>
    <row r="554" spans="1:15" x14ac:dyDescent="0.2">
      <c r="A554" s="10"/>
      <c r="F554" s="7"/>
      <c r="G554" s="9"/>
      <c r="I554" s="10"/>
      <c r="N554" s="7"/>
      <c r="O554" s="9"/>
    </row>
    <row r="555" spans="1:15" x14ac:dyDescent="0.2">
      <c r="A555" s="10"/>
      <c r="F555" s="7"/>
      <c r="G555" s="9"/>
      <c r="I555" s="10"/>
      <c r="N555" s="7"/>
      <c r="O555" s="9"/>
    </row>
    <row r="556" spans="1:15" x14ac:dyDescent="0.2">
      <c r="A556" s="10"/>
      <c r="F556" s="7"/>
      <c r="G556" s="9"/>
      <c r="I556" s="10"/>
      <c r="N556" s="7"/>
      <c r="O556" s="9"/>
    </row>
    <row r="557" spans="1:15" x14ac:dyDescent="0.2">
      <c r="A557" s="10"/>
      <c r="F557" s="7"/>
      <c r="G557" s="9"/>
      <c r="I557" s="10"/>
      <c r="N557" s="7"/>
      <c r="O557" s="9"/>
    </row>
    <row r="558" spans="1:15" x14ac:dyDescent="0.2">
      <c r="A558" s="10"/>
      <c r="F558" s="7"/>
      <c r="G558" s="9"/>
      <c r="I558" s="10"/>
      <c r="N558" s="7"/>
      <c r="O558" s="9"/>
    </row>
    <row r="559" spans="1:15" x14ac:dyDescent="0.2">
      <c r="A559" s="10"/>
      <c r="F559" s="7"/>
      <c r="G559" s="9"/>
      <c r="I559" s="10"/>
      <c r="N559" s="7"/>
      <c r="O559" s="9"/>
    </row>
    <row r="560" spans="1:15" x14ac:dyDescent="0.2">
      <c r="A560" s="10"/>
      <c r="F560" s="7"/>
      <c r="G560" s="9"/>
      <c r="I560" s="10"/>
      <c r="N560" s="7"/>
      <c r="O560" s="9"/>
    </row>
    <row r="561" spans="1:15" x14ac:dyDescent="0.2">
      <c r="A561" s="10"/>
      <c r="F561" s="7"/>
      <c r="G561" s="9"/>
      <c r="I561" s="10"/>
      <c r="N561" s="7"/>
      <c r="O561" s="9"/>
    </row>
    <row r="562" spans="1:15" x14ac:dyDescent="0.2">
      <c r="A562" s="10"/>
      <c r="F562" s="7"/>
      <c r="G562" s="9"/>
      <c r="I562" s="10"/>
      <c r="N562" s="7"/>
      <c r="O562" s="9"/>
    </row>
    <row r="563" spans="1:15" x14ac:dyDescent="0.2">
      <c r="A563" s="10"/>
      <c r="F563" s="7"/>
      <c r="G563" s="9"/>
      <c r="I563" s="10"/>
      <c r="N563" s="7"/>
      <c r="O563" s="9"/>
    </row>
    <row r="564" spans="1:15" x14ac:dyDescent="0.2">
      <c r="A564" s="10"/>
      <c r="F564" s="7"/>
      <c r="G564" s="9"/>
      <c r="I564" s="10"/>
      <c r="N564" s="7"/>
      <c r="O564" s="9"/>
    </row>
    <row r="565" spans="1:15" x14ac:dyDescent="0.2">
      <c r="A565" s="10"/>
      <c r="F565" s="7"/>
      <c r="G565" s="9"/>
      <c r="I565" s="10"/>
      <c r="N565" s="7"/>
      <c r="O565" s="9"/>
    </row>
    <row r="566" spans="1:15" x14ac:dyDescent="0.2">
      <c r="A566" s="10"/>
      <c r="F566" s="7"/>
      <c r="G566" s="9"/>
      <c r="I566" s="10"/>
      <c r="N566" s="7"/>
      <c r="O566" s="9"/>
    </row>
    <row r="567" spans="1:15" x14ac:dyDescent="0.2">
      <c r="A567" s="10"/>
      <c r="F567" s="7"/>
      <c r="G567" s="9"/>
      <c r="I567" s="10"/>
      <c r="N567" s="7"/>
      <c r="O567" s="9"/>
    </row>
    <row r="568" spans="1:15" x14ac:dyDescent="0.2">
      <c r="A568" s="10"/>
      <c r="F568" s="7"/>
      <c r="G568" s="9"/>
      <c r="I568" s="10"/>
      <c r="N568" s="7"/>
      <c r="O568" s="9"/>
    </row>
    <row r="569" spans="1:15" x14ac:dyDescent="0.2">
      <c r="A569" s="10"/>
      <c r="F569" s="7"/>
      <c r="G569" s="9"/>
      <c r="I569" s="10"/>
      <c r="N569" s="7"/>
      <c r="O569" s="9"/>
    </row>
    <row r="570" spans="1:15" x14ac:dyDescent="0.2">
      <c r="A570" s="10"/>
      <c r="F570" s="7"/>
      <c r="G570" s="9"/>
      <c r="I570" s="10"/>
      <c r="N570" s="7"/>
      <c r="O570" s="9"/>
    </row>
    <row r="571" spans="1:15" x14ac:dyDescent="0.2">
      <c r="A571" s="10"/>
      <c r="F571" s="7"/>
      <c r="G571" s="9"/>
      <c r="I571" s="10"/>
      <c r="N571" s="7"/>
      <c r="O571" s="9"/>
    </row>
    <row r="572" spans="1:15" x14ac:dyDescent="0.2">
      <c r="A572" s="10"/>
      <c r="F572" s="7"/>
      <c r="G572" s="9"/>
      <c r="I572" s="10"/>
      <c r="N572" s="7"/>
      <c r="O572" s="9"/>
    </row>
    <row r="573" spans="1:15" x14ac:dyDescent="0.2">
      <c r="A573" s="10"/>
      <c r="F573" s="7"/>
      <c r="G573" s="9"/>
      <c r="I573" s="10"/>
      <c r="N573" s="7"/>
      <c r="O573" s="9"/>
    </row>
    <row r="574" spans="1:15" x14ac:dyDescent="0.2">
      <c r="A574" s="10"/>
      <c r="F574" s="7"/>
      <c r="G574" s="9"/>
      <c r="I574" s="10"/>
      <c r="N574" s="7"/>
      <c r="O574" s="9"/>
    </row>
    <row r="575" spans="1:15" x14ac:dyDescent="0.2">
      <c r="A575" s="10"/>
      <c r="F575" s="7"/>
      <c r="G575" s="9"/>
      <c r="I575" s="10"/>
      <c r="N575" s="7"/>
      <c r="O575" s="9"/>
    </row>
    <row r="576" spans="1:15" x14ac:dyDescent="0.2">
      <c r="A576" s="10"/>
      <c r="F576" s="7"/>
      <c r="G576" s="9"/>
      <c r="I576" s="10"/>
      <c r="N576" s="7"/>
      <c r="O576" s="9"/>
    </row>
    <row r="577" spans="1:15" x14ac:dyDescent="0.2">
      <c r="A577" s="10"/>
      <c r="F577" s="7"/>
      <c r="G577" s="9"/>
      <c r="I577" s="10"/>
      <c r="N577" s="7"/>
      <c r="O577" s="9"/>
    </row>
    <row r="578" spans="1:15" x14ac:dyDescent="0.2">
      <c r="A578" s="10"/>
      <c r="F578" s="7"/>
      <c r="G578" s="9"/>
      <c r="I578" s="10"/>
      <c r="N578" s="7"/>
      <c r="O578" s="9"/>
    </row>
    <row r="579" spans="1:15" x14ac:dyDescent="0.2">
      <c r="A579" s="10"/>
      <c r="F579" s="7"/>
      <c r="G579" s="9"/>
      <c r="I579" s="10"/>
      <c r="N579" s="7"/>
      <c r="O579" s="9"/>
    </row>
    <row r="580" spans="1:15" x14ac:dyDescent="0.2">
      <c r="A580" s="10"/>
      <c r="F580" s="7"/>
      <c r="G580" s="9"/>
      <c r="I580" s="10"/>
      <c r="N580" s="7"/>
      <c r="O580" s="9"/>
    </row>
    <row r="581" spans="1:15" x14ac:dyDescent="0.2">
      <c r="A581" s="10"/>
      <c r="F581" s="7"/>
      <c r="G581" s="9"/>
      <c r="I581" s="10"/>
      <c r="N581" s="7"/>
      <c r="O581" s="9"/>
    </row>
    <row r="582" spans="1:15" x14ac:dyDescent="0.2">
      <c r="A582" s="10"/>
      <c r="F582" s="7"/>
      <c r="G582" s="9"/>
      <c r="I582" s="10"/>
      <c r="N582" s="7"/>
      <c r="O582" s="9"/>
    </row>
    <row r="583" spans="1:15" x14ac:dyDescent="0.2">
      <c r="A583" s="10"/>
      <c r="F583" s="7"/>
      <c r="G583" s="9"/>
      <c r="I583" s="10"/>
      <c r="N583" s="7"/>
      <c r="O583" s="9"/>
    </row>
    <row r="584" spans="1:15" x14ac:dyDescent="0.2">
      <c r="A584" s="10"/>
      <c r="F584" s="7"/>
      <c r="G584" s="9"/>
      <c r="I584" s="10"/>
      <c r="N584" s="7"/>
      <c r="O584" s="9"/>
    </row>
    <row r="585" spans="1:15" x14ac:dyDescent="0.2">
      <c r="A585" s="10"/>
      <c r="F585" s="7"/>
      <c r="G585" s="9"/>
      <c r="I585" s="10"/>
      <c r="N585" s="7"/>
      <c r="O585" s="9"/>
    </row>
    <row r="586" spans="1:15" x14ac:dyDescent="0.2">
      <c r="A586" s="10"/>
      <c r="F586" s="7"/>
      <c r="G586" s="9"/>
      <c r="I586" s="10"/>
      <c r="N586" s="7"/>
      <c r="O586" s="9"/>
    </row>
    <row r="587" spans="1:15" x14ac:dyDescent="0.2">
      <c r="A587" s="10"/>
      <c r="F587" s="7"/>
      <c r="G587" s="9"/>
      <c r="I587" s="10"/>
      <c r="N587" s="7"/>
      <c r="O587" s="9"/>
    </row>
    <row r="588" spans="1:15" x14ac:dyDescent="0.2">
      <c r="A588" s="10"/>
      <c r="F588" s="7"/>
      <c r="G588" s="9"/>
      <c r="I588" s="10"/>
      <c r="N588" s="7"/>
      <c r="O588" s="9"/>
    </row>
    <row r="589" spans="1:15" x14ac:dyDescent="0.2">
      <c r="A589" s="10"/>
      <c r="F589" s="7"/>
      <c r="G589" s="9"/>
      <c r="I589" s="10"/>
      <c r="N589" s="7"/>
      <c r="O589" s="9"/>
    </row>
    <row r="590" spans="1:15" x14ac:dyDescent="0.2">
      <c r="A590" s="10"/>
      <c r="F590" s="7"/>
      <c r="G590" s="9"/>
      <c r="I590" s="10"/>
      <c r="N590" s="7"/>
      <c r="O590" s="9"/>
    </row>
    <row r="591" spans="1:15" x14ac:dyDescent="0.2">
      <c r="A591" s="10"/>
      <c r="F591" s="7"/>
      <c r="G591" s="9"/>
      <c r="I591" s="10"/>
      <c r="N591" s="7"/>
      <c r="O591" s="9"/>
    </row>
    <row r="592" spans="1:15" x14ac:dyDescent="0.2">
      <c r="A592" s="10"/>
      <c r="F592" s="7"/>
      <c r="G592" s="9"/>
      <c r="I592" s="10"/>
      <c r="N592" s="7"/>
      <c r="O592" s="9"/>
    </row>
    <row r="593" spans="1:15" x14ac:dyDescent="0.2">
      <c r="A593" s="10"/>
      <c r="F593" s="7"/>
      <c r="G593" s="9"/>
      <c r="I593" s="10"/>
      <c r="N593" s="7"/>
      <c r="O593" s="9"/>
    </row>
    <row r="594" spans="1:15" x14ac:dyDescent="0.2">
      <c r="A594" s="10"/>
      <c r="F594" s="7"/>
      <c r="G594" s="9"/>
      <c r="I594" s="10"/>
      <c r="N594" s="7"/>
      <c r="O594" s="9"/>
    </row>
    <row r="595" spans="1:15" x14ac:dyDescent="0.2">
      <c r="A595" s="10"/>
      <c r="F595" s="7"/>
      <c r="G595" s="9"/>
      <c r="I595" s="10"/>
      <c r="N595" s="7"/>
      <c r="O595" s="9"/>
    </row>
    <row r="596" spans="1:15" x14ac:dyDescent="0.2">
      <c r="A596" s="10"/>
      <c r="F596" s="7"/>
      <c r="G596" s="9"/>
      <c r="I596" s="10"/>
      <c r="N596" s="7"/>
      <c r="O596" s="9"/>
    </row>
    <row r="597" spans="1:15" x14ac:dyDescent="0.2">
      <c r="A597" s="10"/>
      <c r="F597" s="7"/>
      <c r="G597" s="9"/>
      <c r="I597" s="10"/>
      <c r="N597" s="7"/>
      <c r="O597" s="9"/>
    </row>
    <row r="598" spans="1:15" x14ac:dyDescent="0.2">
      <c r="A598" s="10"/>
      <c r="F598" s="7"/>
      <c r="G598" s="9"/>
      <c r="I598" s="10"/>
      <c r="N598" s="7"/>
      <c r="O598" s="9"/>
    </row>
    <row r="599" spans="1:15" x14ac:dyDescent="0.2">
      <c r="A599" s="10"/>
      <c r="F599" s="7"/>
      <c r="G599" s="9"/>
      <c r="I599" s="10"/>
      <c r="N599" s="7"/>
      <c r="O599" s="9"/>
    </row>
    <row r="600" spans="1:15" x14ac:dyDescent="0.2">
      <c r="A600" s="10"/>
      <c r="F600" s="7"/>
      <c r="G600" s="9"/>
      <c r="I600" s="10"/>
      <c r="N600" s="7"/>
      <c r="O600" s="9"/>
    </row>
    <row r="601" spans="1:15" x14ac:dyDescent="0.2">
      <c r="A601" s="10"/>
      <c r="F601" s="7"/>
      <c r="G601" s="9"/>
      <c r="I601" s="10"/>
      <c r="N601" s="7"/>
      <c r="O601" s="9"/>
    </row>
    <row r="602" spans="1:15" x14ac:dyDescent="0.2">
      <c r="A602" s="10"/>
      <c r="F602" s="7"/>
      <c r="G602" s="9"/>
      <c r="I602" s="10"/>
      <c r="N602" s="7"/>
      <c r="O602" s="9"/>
    </row>
    <row r="603" spans="1:15" x14ac:dyDescent="0.2">
      <c r="A603" s="10"/>
      <c r="F603" s="7"/>
      <c r="G603" s="9"/>
      <c r="I603" s="10"/>
      <c r="N603" s="7"/>
      <c r="O603" s="9"/>
    </row>
    <row r="604" spans="1:15" x14ac:dyDescent="0.2">
      <c r="A604" s="10"/>
      <c r="F604" s="7"/>
      <c r="G604" s="9"/>
      <c r="I604" s="10"/>
      <c r="N604" s="7"/>
      <c r="O604" s="9"/>
    </row>
    <row r="605" spans="1:15" x14ac:dyDescent="0.2">
      <c r="A605" s="10"/>
      <c r="F605" s="7"/>
      <c r="G605" s="9"/>
      <c r="I605" s="10"/>
      <c r="N605" s="7"/>
      <c r="O605" s="9"/>
    </row>
    <row r="606" spans="1:15" x14ac:dyDescent="0.2">
      <c r="A606" s="10"/>
      <c r="F606" s="7"/>
      <c r="G606" s="9"/>
      <c r="I606" s="10"/>
      <c r="N606" s="7"/>
      <c r="O606" s="9"/>
    </row>
    <row r="607" spans="1:15" x14ac:dyDescent="0.2">
      <c r="A607" s="10"/>
      <c r="F607" s="7"/>
      <c r="G607" s="9"/>
      <c r="I607" s="10"/>
      <c r="N607" s="7"/>
      <c r="O607" s="9"/>
    </row>
    <row r="608" spans="1:15" x14ac:dyDescent="0.2">
      <c r="A608" s="10"/>
      <c r="F608" s="7"/>
      <c r="G608" s="9"/>
      <c r="I608" s="10"/>
      <c r="N608" s="7"/>
      <c r="O608" s="9"/>
    </row>
    <row r="609" spans="1:15" x14ac:dyDescent="0.2">
      <c r="A609" s="10"/>
      <c r="F609" s="7"/>
      <c r="G609" s="9"/>
      <c r="I609" s="10"/>
      <c r="N609" s="7"/>
      <c r="O609" s="9"/>
    </row>
    <row r="610" spans="1:15" x14ac:dyDescent="0.2">
      <c r="A610" s="10"/>
      <c r="F610" s="7"/>
      <c r="G610" s="9"/>
      <c r="I610" s="10"/>
      <c r="N610" s="7"/>
      <c r="O610" s="9"/>
    </row>
    <row r="611" spans="1:15" x14ac:dyDescent="0.2">
      <c r="A611" s="10"/>
      <c r="F611" s="7"/>
      <c r="G611" s="9"/>
      <c r="I611" s="10"/>
      <c r="N611" s="7"/>
      <c r="O611" s="9"/>
    </row>
    <row r="612" spans="1:15" x14ac:dyDescent="0.2">
      <c r="A612" s="10"/>
      <c r="F612" s="7"/>
      <c r="G612" s="9"/>
      <c r="I612" s="10"/>
      <c r="N612" s="7"/>
      <c r="O612" s="9"/>
    </row>
    <row r="613" spans="1:15" x14ac:dyDescent="0.2">
      <c r="A613" s="10"/>
      <c r="F613" s="7"/>
      <c r="G613" s="9"/>
      <c r="I613" s="10"/>
      <c r="N613" s="7"/>
      <c r="O613" s="9"/>
    </row>
    <row r="614" spans="1:15" x14ac:dyDescent="0.2">
      <c r="A614" s="10"/>
      <c r="F614" s="7"/>
      <c r="G614" s="9"/>
      <c r="I614" s="10"/>
      <c r="N614" s="7"/>
      <c r="O614" s="9"/>
    </row>
    <row r="615" spans="1:15" x14ac:dyDescent="0.2">
      <c r="A615" s="10"/>
      <c r="F615" s="7"/>
      <c r="G615" s="9"/>
      <c r="I615" s="10"/>
      <c r="N615" s="7"/>
      <c r="O615" s="9"/>
    </row>
    <row r="616" spans="1:15" x14ac:dyDescent="0.2">
      <c r="A616" s="10"/>
      <c r="F616" s="7"/>
      <c r="G616" s="9"/>
      <c r="I616" s="10"/>
      <c r="N616" s="7"/>
      <c r="O616" s="9"/>
    </row>
    <row r="617" spans="1:15" x14ac:dyDescent="0.2">
      <c r="A617" s="10"/>
      <c r="F617" s="7"/>
      <c r="G617" s="9"/>
      <c r="I617" s="10"/>
      <c r="N617" s="7"/>
      <c r="O617" s="9"/>
    </row>
    <row r="618" spans="1:15" x14ac:dyDescent="0.2">
      <c r="A618" s="10"/>
      <c r="F618" s="7"/>
      <c r="G618" s="9"/>
      <c r="I618" s="10"/>
      <c r="N618" s="7"/>
      <c r="O618" s="9"/>
    </row>
    <row r="619" spans="1:15" x14ac:dyDescent="0.2">
      <c r="A619" s="10"/>
      <c r="F619" s="7"/>
      <c r="G619" s="9"/>
      <c r="I619" s="10"/>
      <c r="N619" s="7"/>
      <c r="O619" s="9"/>
    </row>
    <row r="620" spans="1:15" x14ac:dyDescent="0.2">
      <c r="A620" s="10"/>
      <c r="F620" s="7"/>
      <c r="G620" s="9"/>
      <c r="I620" s="10"/>
      <c r="N620" s="7"/>
      <c r="O620" s="9"/>
    </row>
    <row r="621" spans="1:15" x14ac:dyDescent="0.2">
      <c r="A621" s="10"/>
      <c r="F621" s="7"/>
      <c r="G621" s="9"/>
      <c r="I621" s="10"/>
      <c r="N621" s="7"/>
      <c r="O621" s="9"/>
    </row>
    <row r="622" spans="1:15" x14ac:dyDescent="0.2">
      <c r="A622" s="10"/>
      <c r="F622" s="7"/>
      <c r="G622" s="9"/>
      <c r="I622" s="10"/>
      <c r="N622" s="7"/>
      <c r="O622" s="9"/>
    </row>
    <row r="623" spans="1:15" x14ac:dyDescent="0.2">
      <c r="A623" s="10"/>
      <c r="F623" s="7"/>
      <c r="G623" s="9"/>
      <c r="I623" s="10"/>
      <c r="N623" s="7"/>
      <c r="O623" s="9"/>
    </row>
    <row r="624" spans="1:15" x14ac:dyDescent="0.2">
      <c r="A624" s="10"/>
      <c r="F624" s="7"/>
      <c r="G624" s="9"/>
      <c r="I624" s="10"/>
      <c r="N624" s="7"/>
      <c r="O624" s="9"/>
    </row>
    <row r="625" spans="1:15" x14ac:dyDescent="0.2">
      <c r="A625" s="10"/>
      <c r="F625" s="7"/>
      <c r="G625" s="9"/>
      <c r="I625" s="10"/>
      <c r="N625" s="7"/>
      <c r="O625" s="9"/>
    </row>
    <row r="626" spans="1:15" x14ac:dyDescent="0.2">
      <c r="A626" s="10"/>
      <c r="F626" s="7"/>
      <c r="G626" s="9"/>
      <c r="I626" s="10"/>
      <c r="N626" s="7"/>
      <c r="O626" s="9"/>
    </row>
    <row r="627" spans="1:15" x14ac:dyDescent="0.2">
      <c r="A627" s="10"/>
      <c r="F627" s="7"/>
      <c r="G627" s="9"/>
      <c r="I627" s="10"/>
      <c r="N627" s="7"/>
      <c r="O627" s="9"/>
    </row>
    <row r="628" spans="1:15" x14ac:dyDescent="0.2">
      <c r="A628" s="10"/>
      <c r="F628" s="7"/>
      <c r="G628" s="9"/>
      <c r="I628" s="10"/>
      <c r="N628" s="7"/>
      <c r="O628" s="9"/>
    </row>
    <row r="629" spans="1:15" x14ac:dyDescent="0.2">
      <c r="A629" s="10"/>
      <c r="F629" s="7"/>
      <c r="G629" s="9"/>
      <c r="I629" s="10"/>
      <c r="N629" s="7"/>
      <c r="O629" s="9"/>
    </row>
    <row r="630" spans="1:15" x14ac:dyDescent="0.2">
      <c r="A630" s="10"/>
      <c r="F630" s="7"/>
      <c r="G630" s="9"/>
      <c r="I630" s="10"/>
      <c r="N630" s="7"/>
      <c r="O630" s="9"/>
    </row>
    <row r="631" spans="1:15" x14ac:dyDescent="0.2">
      <c r="A631" s="10"/>
      <c r="F631" s="7"/>
      <c r="G631" s="9"/>
      <c r="I631" s="10"/>
      <c r="N631" s="7"/>
      <c r="O631" s="9"/>
    </row>
    <row r="632" spans="1:15" x14ac:dyDescent="0.2">
      <c r="A632" s="10"/>
      <c r="F632" s="7"/>
      <c r="G632" s="9"/>
      <c r="I632" s="10"/>
      <c r="N632" s="7"/>
      <c r="O632" s="9"/>
    </row>
    <row r="633" spans="1:15" x14ac:dyDescent="0.2">
      <c r="A633" s="10"/>
      <c r="F633" s="7"/>
      <c r="G633" s="9"/>
      <c r="I633" s="10"/>
      <c r="N633" s="7"/>
      <c r="O633" s="9"/>
    </row>
    <row r="634" spans="1:15" x14ac:dyDescent="0.2">
      <c r="A634" s="10"/>
      <c r="F634" s="7"/>
      <c r="G634" s="9"/>
      <c r="I634" s="10"/>
      <c r="N634" s="7"/>
      <c r="O634" s="9"/>
    </row>
    <row r="635" spans="1:15" x14ac:dyDescent="0.2">
      <c r="A635" s="10"/>
      <c r="F635" s="7"/>
      <c r="G635" s="9"/>
      <c r="I635" s="10"/>
      <c r="N635" s="7"/>
      <c r="O635" s="9"/>
    </row>
    <row r="636" spans="1:15" x14ac:dyDescent="0.2">
      <c r="A636" s="10"/>
      <c r="F636" s="7"/>
      <c r="G636" s="9"/>
      <c r="I636" s="10"/>
      <c r="N636" s="7"/>
      <c r="O636" s="9"/>
    </row>
    <row r="637" spans="1:15" x14ac:dyDescent="0.2">
      <c r="A637" s="10"/>
      <c r="F637" s="7"/>
      <c r="G637" s="9"/>
      <c r="I637" s="10"/>
      <c r="N637" s="7"/>
      <c r="O637" s="9"/>
    </row>
    <row r="638" spans="1:15" x14ac:dyDescent="0.2">
      <c r="A638" s="10"/>
      <c r="F638" s="7"/>
      <c r="G638" s="9"/>
      <c r="I638" s="10"/>
      <c r="N638" s="7"/>
      <c r="O638" s="9"/>
    </row>
    <row r="639" spans="1:15" x14ac:dyDescent="0.2">
      <c r="A639" s="10"/>
      <c r="F639" s="7"/>
      <c r="G639" s="9"/>
      <c r="I639" s="10"/>
      <c r="N639" s="7"/>
      <c r="O639" s="9"/>
    </row>
    <row r="640" spans="1:15" x14ac:dyDescent="0.2">
      <c r="A640" s="10"/>
      <c r="F640" s="7"/>
      <c r="G640" s="9"/>
      <c r="I640" s="10"/>
      <c r="N640" s="7"/>
      <c r="O640" s="9"/>
    </row>
    <row r="641" spans="1:15" x14ac:dyDescent="0.2">
      <c r="A641" s="10"/>
      <c r="F641" s="7"/>
      <c r="G641" s="9"/>
      <c r="I641" s="10"/>
      <c r="N641" s="7"/>
      <c r="O641" s="9"/>
    </row>
    <row r="642" spans="1:15" x14ac:dyDescent="0.2">
      <c r="A642" s="10"/>
      <c r="F642" s="7"/>
      <c r="G642" s="9"/>
      <c r="I642" s="10"/>
      <c r="N642" s="7"/>
      <c r="O642" s="9"/>
    </row>
    <row r="643" spans="1:15" x14ac:dyDescent="0.2">
      <c r="A643" s="10"/>
      <c r="F643" s="7"/>
      <c r="G643" s="9"/>
      <c r="I643" s="10"/>
      <c r="N643" s="7"/>
      <c r="O643" s="9"/>
    </row>
    <row r="644" spans="1:15" x14ac:dyDescent="0.2">
      <c r="A644" s="10"/>
      <c r="F644" s="7"/>
      <c r="G644" s="9"/>
      <c r="I644" s="10"/>
      <c r="N644" s="7"/>
      <c r="O644" s="9"/>
    </row>
    <row r="645" spans="1:15" x14ac:dyDescent="0.2">
      <c r="A645" s="10"/>
      <c r="F645" s="7"/>
      <c r="G645" s="9"/>
      <c r="I645" s="10"/>
      <c r="N645" s="7"/>
      <c r="O645" s="9"/>
    </row>
    <row r="646" spans="1:15" x14ac:dyDescent="0.2">
      <c r="A646" s="10"/>
      <c r="F646" s="7"/>
      <c r="G646" s="9"/>
      <c r="I646" s="10"/>
      <c r="N646" s="7"/>
      <c r="O646" s="9"/>
    </row>
    <row r="647" spans="1:15" x14ac:dyDescent="0.2">
      <c r="A647" s="10"/>
      <c r="F647" s="7"/>
      <c r="G647" s="9"/>
      <c r="I647" s="10"/>
      <c r="N647" s="7"/>
      <c r="O647" s="9"/>
    </row>
    <row r="648" spans="1:15" x14ac:dyDescent="0.2">
      <c r="A648" s="10"/>
      <c r="F648" s="7"/>
      <c r="G648" s="9"/>
      <c r="I648" s="10"/>
      <c r="N648" s="7"/>
      <c r="O648" s="9"/>
    </row>
    <row r="649" spans="1:15" x14ac:dyDescent="0.2">
      <c r="A649" s="10"/>
      <c r="F649" s="7"/>
      <c r="G649" s="9"/>
      <c r="I649" s="10"/>
      <c r="N649" s="7"/>
      <c r="O649" s="9"/>
    </row>
    <row r="650" spans="1:15" x14ac:dyDescent="0.2">
      <c r="A650" s="10"/>
      <c r="F650" s="7"/>
      <c r="G650" s="9"/>
      <c r="I650" s="10"/>
      <c r="N650" s="7"/>
      <c r="O650" s="9"/>
    </row>
    <row r="651" spans="1:15" x14ac:dyDescent="0.2">
      <c r="A651" s="10"/>
      <c r="F651" s="7"/>
      <c r="G651" s="9"/>
      <c r="I651" s="10"/>
      <c r="N651" s="7"/>
      <c r="O651" s="9"/>
    </row>
    <row r="652" spans="1:15" x14ac:dyDescent="0.2">
      <c r="A652" s="10"/>
      <c r="F652" s="7"/>
      <c r="G652" s="9"/>
      <c r="I652" s="10"/>
      <c r="N652" s="7"/>
      <c r="O652" s="9"/>
    </row>
    <row r="653" spans="1:15" x14ac:dyDescent="0.2">
      <c r="A653" s="10"/>
      <c r="F653" s="7"/>
      <c r="G653" s="9"/>
      <c r="I653" s="10"/>
      <c r="N653" s="7"/>
      <c r="O653" s="9"/>
    </row>
    <row r="654" spans="1:15" x14ac:dyDescent="0.2">
      <c r="A654" s="10"/>
      <c r="F654" s="7"/>
      <c r="G654" s="9"/>
      <c r="I654" s="10"/>
      <c r="N654" s="7"/>
      <c r="O654" s="9"/>
    </row>
    <row r="655" spans="1:15" x14ac:dyDescent="0.2">
      <c r="A655" s="10"/>
      <c r="F655" s="7"/>
      <c r="G655" s="9"/>
      <c r="I655" s="10"/>
      <c r="N655" s="7"/>
      <c r="O655" s="9"/>
    </row>
    <row r="656" spans="1:15" x14ac:dyDescent="0.2">
      <c r="A656" s="10"/>
      <c r="F656" s="7"/>
      <c r="G656" s="9"/>
      <c r="I656" s="10"/>
      <c r="N656" s="7"/>
      <c r="O656" s="9"/>
    </row>
    <row r="657" spans="1:15" x14ac:dyDescent="0.2">
      <c r="A657" s="10"/>
      <c r="F657" s="7"/>
      <c r="G657" s="9"/>
      <c r="I657" s="10"/>
      <c r="N657" s="7"/>
      <c r="O657" s="9"/>
    </row>
    <row r="658" spans="1:15" x14ac:dyDescent="0.2">
      <c r="A658" s="10"/>
      <c r="F658" s="7"/>
      <c r="G658" s="9"/>
      <c r="I658" s="10"/>
      <c r="N658" s="7"/>
      <c r="O658" s="9"/>
    </row>
    <row r="659" spans="1:15" x14ac:dyDescent="0.2">
      <c r="A659" s="10"/>
      <c r="F659" s="7"/>
      <c r="G659" s="9"/>
      <c r="I659" s="10"/>
      <c r="N659" s="7"/>
      <c r="O659" s="9"/>
    </row>
    <row r="660" spans="1:15" x14ac:dyDescent="0.2">
      <c r="A660" s="10"/>
      <c r="F660" s="7"/>
      <c r="G660" s="9"/>
      <c r="I660" s="10"/>
      <c r="N660" s="7"/>
      <c r="O660" s="9"/>
    </row>
    <row r="661" spans="1:15" x14ac:dyDescent="0.2">
      <c r="A661" s="10"/>
      <c r="F661" s="7"/>
      <c r="G661" s="9"/>
      <c r="I661" s="10"/>
      <c r="N661" s="7"/>
      <c r="O661" s="9"/>
    </row>
    <row r="662" spans="1:15" x14ac:dyDescent="0.2">
      <c r="A662" s="10"/>
      <c r="F662" s="7"/>
      <c r="G662" s="9"/>
      <c r="I662" s="10"/>
      <c r="N662" s="7"/>
      <c r="O662" s="9"/>
    </row>
    <row r="663" spans="1:15" x14ac:dyDescent="0.2">
      <c r="A663" s="10"/>
      <c r="F663" s="7"/>
      <c r="G663" s="9"/>
      <c r="I663" s="10"/>
      <c r="N663" s="7"/>
      <c r="O663" s="9"/>
    </row>
    <row r="664" spans="1:15" x14ac:dyDescent="0.2">
      <c r="A664" s="10"/>
      <c r="F664" s="7"/>
      <c r="G664" s="9"/>
      <c r="I664" s="10"/>
      <c r="N664" s="7"/>
      <c r="O664" s="9"/>
    </row>
    <row r="665" spans="1:15" x14ac:dyDescent="0.2">
      <c r="A665" s="10"/>
      <c r="F665" s="7"/>
      <c r="G665" s="9"/>
      <c r="I665" s="10"/>
      <c r="N665" s="7"/>
      <c r="O665" s="9"/>
    </row>
    <row r="666" spans="1:15" x14ac:dyDescent="0.2">
      <c r="A666" s="10"/>
      <c r="F666" s="7"/>
      <c r="G666" s="9"/>
      <c r="I666" s="10"/>
      <c r="N666" s="7"/>
      <c r="O666" s="9"/>
    </row>
    <row r="667" spans="1:15" x14ac:dyDescent="0.2">
      <c r="A667" s="10"/>
      <c r="F667" s="7"/>
      <c r="G667" s="9"/>
      <c r="I667" s="10"/>
      <c r="N667" s="7"/>
      <c r="O667" s="9"/>
    </row>
    <row r="668" spans="1:15" x14ac:dyDescent="0.2">
      <c r="A668" s="10"/>
      <c r="F668" s="7"/>
      <c r="G668" s="9"/>
      <c r="I668" s="10"/>
      <c r="N668" s="7"/>
      <c r="O668" s="9"/>
    </row>
    <row r="669" spans="1:15" x14ac:dyDescent="0.2">
      <c r="A669" s="10"/>
      <c r="F669" s="7"/>
      <c r="G669" s="9"/>
      <c r="I669" s="10"/>
      <c r="N669" s="7"/>
      <c r="O669" s="9"/>
    </row>
    <row r="670" spans="1:15" x14ac:dyDescent="0.2">
      <c r="A670" s="10"/>
      <c r="F670" s="7"/>
      <c r="G670" s="9"/>
      <c r="I670" s="10"/>
      <c r="N670" s="7"/>
      <c r="O670" s="9"/>
    </row>
    <row r="671" spans="1:15" x14ac:dyDescent="0.2">
      <c r="A671" s="10"/>
      <c r="F671" s="7"/>
      <c r="G671" s="9"/>
      <c r="I671" s="10"/>
      <c r="N671" s="7"/>
      <c r="O671" s="9"/>
    </row>
    <row r="672" spans="1:15" x14ac:dyDescent="0.2">
      <c r="A672" s="10"/>
      <c r="F672" s="7"/>
      <c r="G672" s="9"/>
      <c r="I672" s="10"/>
      <c r="N672" s="7"/>
      <c r="O672" s="9"/>
    </row>
    <row r="673" spans="1:15" x14ac:dyDescent="0.2">
      <c r="A673" s="10"/>
      <c r="F673" s="7"/>
      <c r="G673" s="9"/>
      <c r="I673" s="10"/>
      <c r="N673" s="7"/>
      <c r="O673" s="9"/>
    </row>
    <row r="674" spans="1:15" x14ac:dyDescent="0.2">
      <c r="A674" s="10"/>
      <c r="F674" s="7"/>
      <c r="G674" s="9"/>
      <c r="I674" s="10"/>
      <c r="N674" s="7"/>
      <c r="O674" s="9"/>
    </row>
    <row r="675" spans="1:15" x14ac:dyDescent="0.2">
      <c r="A675" s="10"/>
      <c r="F675" s="7"/>
      <c r="G675" s="9"/>
      <c r="I675" s="10"/>
      <c r="N675" s="7"/>
      <c r="O675" s="9"/>
    </row>
    <row r="676" spans="1:15" x14ac:dyDescent="0.2">
      <c r="A676" s="10"/>
      <c r="F676" s="7"/>
      <c r="G676" s="9"/>
      <c r="I676" s="10"/>
      <c r="N676" s="7"/>
      <c r="O676" s="9"/>
    </row>
    <row r="677" spans="1:15" x14ac:dyDescent="0.2">
      <c r="A677" s="10"/>
      <c r="F677" s="7"/>
      <c r="G677" s="9"/>
      <c r="I677" s="10"/>
      <c r="N677" s="7"/>
      <c r="O677" s="9"/>
    </row>
    <row r="678" spans="1:15" x14ac:dyDescent="0.2">
      <c r="A678" s="10"/>
      <c r="F678" s="7"/>
      <c r="G678" s="9"/>
      <c r="I678" s="10"/>
      <c r="N678" s="7"/>
      <c r="O678" s="9"/>
    </row>
    <row r="679" spans="1:15" x14ac:dyDescent="0.2">
      <c r="A679" s="10"/>
      <c r="F679" s="7"/>
      <c r="G679" s="9"/>
      <c r="I679" s="10"/>
      <c r="N679" s="7"/>
      <c r="O679" s="9"/>
    </row>
    <row r="680" spans="1:15" x14ac:dyDescent="0.2">
      <c r="A680" s="10"/>
      <c r="F680" s="7"/>
      <c r="G680" s="9"/>
      <c r="I680" s="10"/>
      <c r="N680" s="7"/>
      <c r="O680" s="9"/>
    </row>
    <row r="681" spans="1:15" x14ac:dyDescent="0.2">
      <c r="A681" s="10"/>
      <c r="F681" s="7"/>
      <c r="G681" s="9"/>
      <c r="I681" s="10"/>
      <c r="N681" s="7"/>
      <c r="O681" s="9"/>
    </row>
    <row r="682" spans="1:15" x14ac:dyDescent="0.2">
      <c r="A682" s="10"/>
      <c r="F682" s="7"/>
      <c r="G682" s="9"/>
      <c r="I682" s="10"/>
      <c r="N682" s="7"/>
      <c r="O682" s="9"/>
    </row>
    <row r="683" spans="1:15" x14ac:dyDescent="0.2">
      <c r="A683" s="10"/>
      <c r="F683" s="7"/>
      <c r="G683" s="9"/>
      <c r="I683" s="10"/>
      <c r="N683" s="7"/>
      <c r="O683" s="9"/>
    </row>
    <row r="684" spans="1:15" x14ac:dyDescent="0.2">
      <c r="A684" s="10"/>
      <c r="F684" s="7"/>
      <c r="G684" s="9"/>
      <c r="I684" s="10"/>
      <c r="N684" s="7"/>
      <c r="O684" s="9"/>
    </row>
    <row r="685" spans="1:15" x14ac:dyDescent="0.2">
      <c r="A685" s="10"/>
      <c r="F685" s="7"/>
      <c r="G685" s="9"/>
      <c r="I685" s="10"/>
      <c r="N685" s="7"/>
      <c r="O685" s="9"/>
    </row>
    <row r="686" spans="1:15" x14ac:dyDescent="0.2">
      <c r="A686" s="10"/>
      <c r="F686" s="7"/>
      <c r="G686" s="9"/>
      <c r="I686" s="10"/>
      <c r="N686" s="7"/>
      <c r="O686" s="9"/>
    </row>
    <row r="687" spans="1:15" x14ac:dyDescent="0.2">
      <c r="A687" s="10"/>
      <c r="F687" s="7"/>
      <c r="G687" s="9"/>
      <c r="I687" s="10"/>
      <c r="N687" s="7"/>
      <c r="O687" s="9"/>
    </row>
    <row r="688" spans="1:15" x14ac:dyDescent="0.2">
      <c r="A688" s="10"/>
      <c r="F688" s="7"/>
      <c r="G688" s="9"/>
      <c r="I688" s="10"/>
      <c r="N688" s="7"/>
      <c r="O688" s="9"/>
    </row>
    <row r="689" spans="1:15" x14ac:dyDescent="0.2">
      <c r="A689" s="10"/>
      <c r="F689" s="7"/>
      <c r="G689" s="9"/>
      <c r="I689" s="10"/>
      <c r="N689" s="7"/>
      <c r="O689" s="9"/>
    </row>
    <row r="690" spans="1:15" x14ac:dyDescent="0.2">
      <c r="A690" s="10"/>
      <c r="F690" s="7"/>
      <c r="G690" s="9"/>
      <c r="I690" s="10"/>
      <c r="N690" s="7"/>
      <c r="O690" s="9"/>
    </row>
    <row r="691" spans="1:15" x14ac:dyDescent="0.2">
      <c r="A691" s="10"/>
      <c r="F691" s="7"/>
      <c r="G691" s="9"/>
      <c r="I691" s="10"/>
      <c r="N691" s="7"/>
      <c r="O691" s="9"/>
    </row>
    <row r="692" spans="1:15" x14ac:dyDescent="0.2">
      <c r="A692" s="10"/>
      <c r="F692" s="7"/>
      <c r="G692" s="9"/>
      <c r="I692" s="10"/>
      <c r="N692" s="7"/>
      <c r="O692" s="9"/>
    </row>
    <row r="693" spans="1:15" x14ac:dyDescent="0.2">
      <c r="A693" s="10"/>
      <c r="F693" s="7"/>
      <c r="G693" s="9"/>
      <c r="I693" s="10"/>
      <c r="N693" s="7"/>
      <c r="O693" s="9"/>
    </row>
    <row r="694" spans="1:15" x14ac:dyDescent="0.2">
      <c r="A694" s="10"/>
      <c r="F694" s="7"/>
      <c r="G694" s="9"/>
      <c r="I694" s="10"/>
      <c r="N694" s="7"/>
      <c r="O694" s="9"/>
    </row>
    <row r="695" spans="1:15" x14ac:dyDescent="0.2">
      <c r="A695" s="10"/>
      <c r="F695" s="7"/>
      <c r="G695" s="9"/>
      <c r="I695" s="10"/>
      <c r="N695" s="7"/>
      <c r="O695" s="9"/>
    </row>
    <row r="696" spans="1:15" x14ac:dyDescent="0.2">
      <c r="A696" s="10"/>
      <c r="F696" s="7"/>
      <c r="G696" s="9"/>
      <c r="I696" s="10"/>
      <c r="N696" s="7"/>
      <c r="O696" s="9"/>
    </row>
    <row r="697" spans="1:15" x14ac:dyDescent="0.2">
      <c r="A697" s="10"/>
      <c r="F697" s="7"/>
      <c r="G697" s="9"/>
      <c r="I697" s="10"/>
      <c r="N697" s="7"/>
      <c r="O697" s="9"/>
    </row>
    <row r="698" spans="1:15" x14ac:dyDescent="0.2">
      <c r="A698" s="10"/>
      <c r="F698" s="7"/>
      <c r="G698" s="9"/>
      <c r="I698" s="10"/>
      <c r="N698" s="7"/>
      <c r="O698" s="9"/>
    </row>
    <row r="699" spans="1:15" x14ac:dyDescent="0.2">
      <c r="A699" s="10"/>
      <c r="F699" s="7"/>
      <c r="G699" s="9"/>
      <c r="I699" s="10"/>
      <c r="N699" s="7"/>
      <c r="O699" s="9"/>
    </row>
    <row r="700" spans="1:15" x14ac:dyDescent="0.2">
      <c r="A700" s="10"/>
      <c r="F700" s="7"/>
      <c r="G700" s="9"/>
      <c r="I700" s="10"/>
      <c r="N700" s="7"/>
      <c r="O700" s="9"/>
    </row>
    <row r="701" spans="1:15" x14ac:dyDescent="0.2">
      <c r="A701" s="10"/>
      <c r="F701" s="7"/>
      <c r="G701" s="9"/>
      <c r="I701" s="10"/>
      <c r="N701" s="7"/>
      <c r="O701" s="9"/>
    </row>
    <row r="702" spans="1:15" x14ac:dyDescent="0.2">
      <c r="A702" s="10"/>
      <c r="F702" s="7"/>
      <c r="G702" s="9"/>
      <c r="I702" s="10"/>
      <c r="N702" s="7"/>
      <c r="O702" s="9"/>
    </row>
    <row r="703" spans="1:15" x14ac:dyDescent="0.2">
      <c r="A703" s="10"/>
      <c r="F703" s="7"/>
      <c r="G703" s="9"/>
      <c r="I703" s="10"/>
      <c r="N703" s="7"/>
      <c r="O703" s="9"/>
    </row>
    <row r="704" spans="1:15" x14ac:dyDescent="0.2">
      <c r="A704" s="10"/>
      <c r="F704" s="7"/>
      <c r="G704" s="9"/>
      <c r="I704" s="10"/>
      <c r="N704" s="7"/>
      <c r="O704" s="9"/>
    </row>
    <row r="705" spans="1:15" x14ac:dyDescent="0.2">
      <c r="A705" s="10"/>
      <c r="F705" s="7"/>
      <c r="G705" s="9"/>
      <c r="I705" s="10"/>
      <c r="N705" s="7"/>
      <c r="O705" s="9"/>
    </row>
    <row r="706" spans="1:15" x14ac:dyDescent="0.2">
      <c r="A706" s="10"/>
      <c r="F706" s="7"/>
      <c r="G706" s="9"/>
      <c r="I706" s="10"/>
      <c r="N706" s="7"/>
      <c r="O706" s="9"/>
    </row>
    <row r="707" spans="1:15" x14ac:dyDescent="0.2">
      <c r="A707" s="10"/>
      <c r="F707" s="7"/>
      <c r="G707" s="9"/>
      <c r="I707" s="10"/>
      <c r="N707" s="7"/>
      <c r="O707" s="9"/>
    </row>
    <row r="708" spans="1:15" x14ac:dyDescent="0.2">
      <c r="A708" s="10"/>
      <c r="F708" s="7"/>
      <c r="G708" s="9"/>
      <c r="I708" s="10"/>
      <c r="N708" s="7"/>
      <c r="O708" s="9"/>
    </row>
    <row r="709" spans="1:15" x14ac:dyDescent="0.2">
      <c r="A709" s="10"/>
      <c r="F709" s="7"/>
      <c r="G709" s="9"/>
      <c r="I709" s="10"/>
      <c r="N709" s="7"/>
      <c r="O709" s="9"/>
    </row>
    <row r="710" spans="1:15" x14ac:dyDescent="0.2">
      <c r="A710" s="10"/>
      <c r="F710" s="7"/>
      <c r="G710" s="9"/>
      <c r="I710" s="10"/>
      <c r="N710" s="7"/>
      <c r="O710" s="9"/>
    </row>
    <row r="711" spans="1:15" x14ac:dyDescent="0.2">
      <c r="A711" s="10"/>
      <c r="F711" s="7"/>
      <c r="G711" s="9"/>
      <c r="I711" s="10"/>
      <c r="N711" s="7"/>
      <c r="O711" s="9"/>
    </row>
    <row r="712" spans="1:15" x14ac:dyDescent="0.2">
      <c r="A712" s="10"/>
      <c r="F712" s="7"/>
      <c r="G712" s="9"/>
      <c r="I712" s="10"/>
      <c r="N712" s="7"/>
      <c r="O712" s="9"/>
    </row>
    <row r="713" spans="1:15" x14ac:dyDescent="0.2">
      <c r="A713" s="10"/>
      <c r="F713" s="7"/>
      <c r="G713" s="9"/>
      <c r="I713" s="10"/>
      <c r="N713" s="7"/>
      <c r="O713" s="9"/>
    </row>
    <row r="714" spans="1:15" x14ac:dyDescent="0.2">
      <c r="A714" s="10"/>
      <c r="F714" s="7"/>
      <c r="G714" s="9"/>
      <c r="I714" s="10"/>
      <c r="N714" s="7"/>
      <c r="O714" s="9"/>
    </row>
    <row r="715" spans="1:15" x14ac:dyDescent="0.2">
      <c r="A715" s="10"/>
      <c r="F715" s="7"/>
      <c r="G715" s="9"/>
      <c r="I715" s="10"/>
      <c r="N715" s="7"/>
      <c r="O715" s="9"/>
    </row>
    <row r="716" spans="1:15" x14ac:dyDescent="0.2">
      <c r="A716" s="10"/>
      <c r="F716" s="7"/>
      <c r="G716" s="9"/>
      <c r="I716" s="10"/>
      <c r="N716" s="7"/>
      <c r="O716" s="9"/>
    </row>
    <row r="717" spans="1:15" x14ac:dyDescent="0.2">
      <c r="A717" s="10"/>
      <c r="F717" s="7"/>
      <c r="G717" s="9"/>
      <c r="I717" s="10"/>
      <c r="N717" s="7"/>
      <c r="O717" s="9"/>
    </row>
    <row r="718" spans="1:15" x14ac:dyDescent="0.2">
      <c r="A718" s="10"/>
      <c r="F718" s="7"/>
      <c r="G718" s="9"/>
      <c r="I718" s="10"/>
      <c r="N718" s="7"/>
      <c r="O718" s="9"/>
    </row>
    <row r="719" spans="1:15" x14ac:dyDescent="0.2">
      <c r="A719" s="10"/>
      <c r="F719" s="7"/>
      <c r="G719" s="9"/>
      <c r="I719" s="10"/>
      <c r="N719" s="7"/>
      <c r="O719" s="9"/>
    </row>
    <row r="720" spans="1:15" x14ac:dyDescent="0.2">
      <c r="A720" s="10"/>
      <c r="F720" s="7"/>
      <c r="G720" s="9"/>
      <c r="I720" s="10"/>
      <c r="N720" s="7"/>
      <c r="O720" s="9"/>
    </row>
    <row r="721" spans="1:15" x14ac:dyDescent="0.2">
      <c r="A721" s="10"/>
      <c r="F721" s="7"/>
      <c r="G721" s="9"/>
      <c r="I721" s="10"/>
      <c r="N721" s="7"/>
      <c r="O721" s="9"/>
    </row>
    <row r="722" spans="1:15" x14ac:dyDescent="0.2">
      <c r="A722" s="10"/>
      <c r="F722" s="7"/>
      <c r="G722" s="9"/>
      <c r="I722" s="10"/>
      <c r="N722" s="7"/>
      <c r="O722" s="9"/>
    </row>
    <row r="723" spans="1:15" x14ac:dyDescent="0.2">
      <c r="A723" s="10"/>
      <c r="F723" s="7"/>
      <c r="G723" s="9"/>
      <c r="I723" s="10"/>
      <c r="N723" s="7"/>
      <c r="O723" s="9"/>
    </row>
    <row r="724" spans="1:15" x14ac:dyDescent="0.2">
      <c r="A724" s="10"/>
      <c r="F724" s="7"/>
      <c r="G724" s="9"/>
      <c r="I724" s="10"/>
      <c r="N724" s="7"/>
      <c r="O724" s="9"/>
    </row>
    <row r="725" spans="1:15" x14ac:dyDescent="0.2">
      <c r="A725" s="10"/>
      <c r="F725" s="7"/>
      <c r="G725" s="9"/>
      <c r="I725" s="10"/>
      <c r="N725" s="7"/>
      <c r="O725" s="9"/>
    </row>
    <row r="726" spans="1:15" x14ac:dyDescent="0.2">
      <c r="A726" s="10"/>
      <c r="F726" s="7"/>
      <c r="G726" s="9"/>
      <c r="I726" s="10"/>
      <c r="N726" s="7"/>
      <c r="O726" s="9"/>
    </row>
    <row r="727" spans="1:15" x14ac:dyDescent="0.2">
      <c r="A727" s="10"/>
      <c r="F727" s="7"/>
      <c r="G727" s="9"/>
      <c r="I727" s="10"/>
      <c r="N727" s="7"/>
      <c r="O727" s="9"/>
    </row>
    <row r="728" spans="1:15" x14ac:dyDescent="0.2">
      <c r="A728" s="10"/>
      <c r="F728" s="7"/>
      <c r="G728" s="9"/>
      <c r="I728" s="10"/>
      <c r="N728" s="7"/>
      <c r="O728" s="9"/>
    </row>
    <row r="729" spans="1:15" x14ac:dyDescent="0.2">
      <c r="A729" s="10"/>
      <c r="F729" s="7"/>
      <c r="G729" s="9"/>
      <c r="I729" s="10"/>
      <c r="N729" s="7"/>
      <c r="O729" s="9"/>
    </row>
    <row r="730" spans="1:15" x14ac:dyDescent="0.2">
      <c r="A730" s="10"/>
      <c r="F730" s="7"/>
      <c r="G730" s="9"/>
      <c r="I730" s="10"/>
      <c r="N730" s="7"/>
      <c r="O730" s="9"/>
    </row>
    <row r="731" spans="1:15" x14ac:dyDescent="0.2">
      <c r="A731" s="10"/>
      <c r="F731" s="7"/>
      <c r="G731" s="9"/>
      <c r="I731" s="10"/>
      <c r="N731" s="7"/>
      <c r="O731" s="9"/>
    </row>
    <row r="732" spans="1:15" x14ac:dyDescent="0.2">
      <c r="A732" s="10"/>
      <c r="F732" s="7"/>
      <c r="G732" s="9"/>
      <c r="I732" s="10"/>
      <c r="N732" s="7"/>
      <c r="O732" s="9"/>
    </row>
    <row r="733" spans="1:15" x14ac:dyDescent="0.2">
      <c r="A733" s="10"/>
      <c r="F733" s="7"/>
      <c r="G733" s="9"/>
      <c r="I733" s="10"/>
      <c r="N733" s="7"/>
      <c r="O733" s="9"/>
    </row>
    <row r="734" spans="1:15" x14ac:dyDescent="0.2">
      <c r="A734" s="10"/>
      <c r="F734" s="7"/>
      <c r="G734" s="9"/>
      <c r="I734" s="10"/>
      <c r="N734" s="7"/>
      <c r="O734" s="9"/>
    </row>
    <row r="735" spans="1:15" x14ac:dyDescent="0.2">
      <c r="A735" s="10"/>
      <c r="F735" s="7"/>
      <c r="G735" s="9"/>
      <c r="I735" s="10"/>
      <c r="N735" s="7"/>
      <c r="O735" s="9"/>
    </row>
    <row r="736" spans="1:15" x14ac:dyDescent="0.2">
      <c r="A736" s="10"/>
      <c r="F736" s="7"/>
      <c r="G736" s="9"/>
      <c r="I736" s="10"/>
      <c r="N736" s="7"/>
      <c r="O736" s="9"/>
    </row>
    <row r="737" spans="1:15" x14ac:dyDescent="0.2">
      <c r="A737" s="10"/>
      <c r="F737" s="7"/>
      <c r="G737" s="9"/>
      <c r="I737" s="10"/>
      <c r="N737" s="7"/>
      <c r="O737" s="9"/>
    </row>
    <row r="738" spans="1:15" x14ac:dyDescent="0.2">
      <c r="A738" s="10"/>
      <c r="F738" s="7"/>
      <c r="G738" s="9"/>
      <c r="I738" s="10"/>
      <c r="N738" s="7"/>
      <c r="O738" s="9"/>
    </row>
    <row r="739" spans="1:15" x14ac:dyDescent="0.2">
      <c r="A739" s="10"/>
      <c r="F739" s="7"/>
      <c r="G739" s="9"/>
      <c r="I739" s="10"/>
      <c r="N739" s="7"/>
      <c r="O739" s="9"/>
    </row>
    <row r="740" spans="1:15" x14ac:dyDescent="0.2">
      <c r="A740" s="10"/>
      <c r="F740" s="7"/>
      <c r="G740" s="9"/>
      <c r="I740" s="10"/>
      <c r="N740" s="7"/>
      <c r="O740" s="9"/>
    </row>
    <row r="741" spans="1:15" x14ac:dyDescent="0.2">
      <c r="A741" s="10"/>
      <c r="F741" s="7"/>
      <c r="G741" s="9"/>
      <c r="I741" s="10"/>
      <c r="N741" s="7"/>
      <c r="O741" s="9"/>
    </row>
    <row r="742" spans="1:15" x14ac:dyDescent="0.2">
      <c r="A742" s="10"/>
      <c r="F742" s="7"/>
      <c r="G742" s="9"/>
      <c r="I742" s="10"/>
      <c r="N742" s="7"/>
      <c r="O742" s="9"/>
    </row>
    <row r="743" spans="1:15" x14ac:dyDescent="0.2">
      <c r="A743" s="10"/>
      <c r="F743" s="7"/>
      <c r="G743" s="9"/>
      <c r="I743" s="10"/>
      <c r="N743" s="7"/>
      <c r="O743" s="9"/>
    </row>
    <row r="744" spans="1:15" x14ac:dyDescent="0.2">
      <c r="A744" s="10"/>
      <c r="F744" s="7"/>
      <c r="G744" s="9"/>
      <c r="I744" s="10"/>
      <c r="N744" s="7"/>
      <c r="O744" s="9"/>
    </row>
    <row r="745" spans="1:15" x14ac:dyDescent="0.2">
      <c r="A745" s="10"/>
      <c r="F745" s="7"/>
      <c r="G745" s="9"/>
      <c r="I745" s="10"/>
      <c r="N745" s="7"/>
      <c r="O745" s="9"/>
    </row>
    <row r="746" spans="1:15" x14ac:dyDescent="0.2">
      <c r="A746" s="10"/>
      <c r="F746" s="7"/>
      <c r="G746" s="9"/>
      <c r="I746" s="10"/>
      <c r="N746" s="7"/>
      <c r="O746" s="9"/>
    </row>
    <row r="747" spans="1:15" x14ac:dyDescent="0.2">
      <c r="A747" s="10"/>
      <c r="F747" s="7"/>
      <c r="G747" s="9"/>
      <c r="I747" s="10"/>
      <c r="N747" s="7"/>
      <c r="O747" s="9"/>
    </row>
    <row r="748" spans="1:15" x14ac:dyDescent="0.2">
      <c r="A748" s="10"/>
      <c r="F748" s="7"/>
      <c r="G748" s="9"/>
      <c r="I748" s="10"/>
      <c r="N748" s="7"/>
      <c r="O748" s="9"/>
    </row>
    <row r="749" spans="1:15" x14ac:dyDescent="0.2">
      <c r="A749" s="10"/>
      <c r="F749" s="7"/>
      <c r="G749" s="9"/>
      <c r="I749" s="10"/>
      <c r="N749" s="7"/>
      <c r="O749" s="9"/>
    </row>
    <row r="750" spans="1:15" x14ac:dyDescent="0.2">
      <c r="A750" s="10"/>
      <c r="F750" s="7"/>
      <c r="G750" s="9"/>
      <c r="I750" s="10"/>
      <c r="N750" s="7"/>
      <c r="O750" s="9"/>
    </row>
    <row r="751" spans="1:15" x14ac:dyDescent="0.2">
      <c r="A751" s="10"/>
      <c r="F751" s="7"/>
      <c r="G751" s="9"/>
      <c r="I751" s="10"/>
      <c r="N751" s="7"/>
      <c r="O751" s="9"/>
    </row>
    <row r="752" spans="1:15" x14ac:dyDescent="0.2">
      <c r="A752" s="10"/>
      <c r="F752" s="7"/>
      <c r="G752" s="9"/>
      <c r="I752" s="10"/>
      <c r="N752" s="7"/>
      <c r="O752" s="9"/>
    </row>
    <row r="753" spans="1:15" x14ac:dyDescent="0.2">
      <c r="A753" s="10"/>
      <c r="F753" s="7"/>
      <c r="G753" s="9"/>
      <c r="I753" s="10"/>
      <c r="N753" s="7"/>
      <c r="O753" s="9"/>
    </row>
    <row r="754" spans="1:15" x14ac:dyDescent="0.2">
      <c r="A754" s="10"/>
      <c r="F754" s="7"/>
      <c r="G754" s="9"/>
      <c r="I754" s="10"/>
      <c r="N754" s="7"/>
      <c r="O754" s="9"/>
    </row>
    <row r="755" spans="1:15" x14ac:dyDescent="0.2">
      <c r="A755" s="10"/>
      <c r="F755" s="7"/>
      <c r="G755" s="9"/>
      <c r="I755" s="10"/>
      <c r="N755" s="7"/>
      <c r="O755" s="9"/>
    </row>
    <row r="756" spans="1:15" x14ac:dyDescent="0.2">
      <c r="A756" s="10"/>
      <c r="F756" s="7"/>
      <c r="G756" s="9"/>
      <c r="I756" s="10"/>
      <c r="N756" s="7"/>
      <c r="O756" s="9"/>
    </row>
    <row r="757" spans="1:15" x14ac:dyDescent="0.2">
      <c r="A757" s="10"/>
      <c r="F757" s="7"/>
      <c r="G757" s="9"/>
      <c r="I757" s="10"/>
      <c r="N757" s="7"/>
      <c r="O757" s="9"/>
    </row>
    <row r="758" spans="1:15" x14ac:dyDescent="0.2">
      <c r="A758" s="10"/>
      <c r="F758" s="7"/>
      <c r="G758" s="9"/>
      <c r="I758" s="10"/>
      <c r="N758" s="7"/>
      <c r="O758" s="9"/>
    </row>
    <row r="759" spans="1:15" x14ac:dyDescent="0.2">
      <c r="A759" s="10"/>
      <c r="F759" s="7"/>
      <c r="G759" s="9"/>
      <c r="I759" s="10"/>
      <c r="N759" s="7"/>
      <c r="O759" s="9"/>
    </row>
    <row r="760" spans="1:15" x14ac:dyDescent="0.2">
      <c r="A760" s="10"/>
      <c r="F760" s="7"/>
      <c r="G760" s="9"/>
      <c r="I760" s="10"/>
      <c r="N760" s="7"/>
      <c r="O760" s="9"/>
    </row>
    <row r="761" spans="1:15" x14ac:dyDescent="0.2">
      <c r="A761" s="10"/>
      <c r="F761" s="7"/>
      <c r="G761" s="9"/>
      <c r="I761" s="10"/>
      <c r="N761" s="7"/>
      <c r="O761" s="9"/>
    </row>
    <row r="762" spans="1:15" x14ac:dyDescent="0.2">
      <c r="A762" s="10"/>
      <c r="F762" s="7"/>
      <c r="G762" s="9"/>
      <c r="I762" s="10"/>
      <c r="N762" s="7"/>
      <c r="O762" s="9"/>
    </row>
    <row r="763" spans="1:15" x14ac:dyDescent="0.2">
      <c r="A763" s="10"/>
      <c r="F763" s="7"/>
      <c r="G763" s="9"/>
      <c r="I763" s="10"/>
      <c r="N763" s="7"/>
      <c r="O763" s="9"/>
    </row>
    <row r="764" spans="1:15" x14ac:dyDescent="0.2">
      <c r="A764" s="10"/>
      <c r="F764" s="7"/>
      <c r="G764" s="9"/>
      <c r="I764" s="10"/>
      <c r="N764" s="7"/>
      <c r="O764" s="9"/>
    </row>
    <row r="765" spans="1:15" x14ac:dyDescent="0.2">
      <c r="A765" s="10"/>
      <c r="F765" s="7"/>
      <c r="G765" s="9"/>
      <c r="I765" s="10"/>
      <c r="N765" s="7"/>
      <c r="O765" s="9"/>
    </row>
    <row r="766" spans="1:15" x14ac:dyDescent="0.2">
      <c r="A766" s="10"/>
      <c r="F766" s="7"/>
      <c r="G766" s="9"/>
      <c r="I766" s="10"/>
      <c r="N766" s="7"/>
      <c r="O766" s="9"/>
    </row>
    <row r="767" spans="1:15" x14ac:dyDescent="0.2">
      <c r="A767" s="10"/>
      <c r="F767" s="7"/>
      <c r="G767" s="9"/>
      <c r="I767" s="10"/>
      <c r="N767" s="7"/>
      <c r="O767" s="9"/>
    </row>
    <row r="768" spans="1:15" x14ac:dyDescent="0.2">
      <c r="A768" s="10"/>
      <c r="F768" s="7"/>
      <c r="G768" s="9"/>
      <c r="I768" s="10"/>
      <c r="N768" s="7"/>
      <c r="O768" s="9"/>
    </row>
    <row r="769" spans="1:15" x14ac:dyDescent="0.2">
      <c r="A769" s="10"/>
      <c r="F769" s="7"/>
      <c r="G769" s="9"/>
      <c r="I769" s="10"/>
      <c r="N769" s="7"/>
      <c r="O769" s="9"/>
    </row>
    <row r="770" spans="1:15" x14ac:dyDescent="0.2">
      <c r="A770" s="10"/>
      <c r="F770" s="7"/>
      <c r="G770" s="9"/>
      <c r="I770" s="10"/>
      <c r="N770" s="7"/>
      <c r="O770" s="9"/>
    </row>
    <row r="771" spans="1:15" x14ac:dyDescent="0.2">
      <c r="A771" s="10"/>
      <c r="F771" s="7"/>
      <c r="G771" s="9"/>
      <c r="I771" s="10"/>
      <c r="N771" s="7"/>
      <c r="O771" s="9"/>
    </row>
    <row r="772" spans="1:15" x14ac:dyDescent="0.2">
      <c r="A772" s="10"/>
      <c r="F772" s="7"/>
      <c r="G772" s="9"/>
      <c r="I772" s="10"/>
      <c r="N772" s="7"/>
      <c r="O772" s="9"/>
    </row>
    <row r="773" spans="1:15" x14ac:dyDescent="0.2">
      <c r="A773" s="10"/>
      <c r="F773" s="7"/>
      <c r="G773" s="9"/>
      <c r="I773" s="10"/>
      <c r="N773" s="7"/>
      <c r="O773" s="9"/>
    </row>
    <row r="774" spans="1:15" x14ac:dyDescent="0.2">
      <c r="A774" s="10"/>
      <c r="F774" s="7"/>
      <c r="G774" s="9"/>
      <c r="I774" s="10"/>
      <c r="N774" s="7"/>
      <c r="O774" s="9"/>
    </row>
    <row r="775" spans="1:15" x14ac:dyDescent="0.2">
      <c r="A775" s="10"/>
      <c r="F775" s="7"/>
      <c r="G775" s="9"/>
      <c r="I775" s="10"/>
      <c r="N775" s="7"/>
      <c r="O775" s="9"/>
    </row>
    <row r="776" spans="1:15" x14ac:dyDescent="0.2">
      <c r="A776" s="10"/>
      <c r="F776" s="7"/>
      <c r="G776" s="9"/>
      <c r="I776" s="10"/>
      <c r="N776" s="7"/>
      <c r="O776" s="9"/>
    </row>
    <row r="777" spans="1:15" x14ac:dyDescent="0.2">
      <c r="A777" s="10"/>
      <c r="F777" s="7"/>
      <c r="G777" s="9"/>
      <c r="I777" s="10"/>
      <c r="N777" s="7"/>
      <c r="O777" s="9"/>
    </row>
    <row r="778" spans="1:15" x14ac:dyDescent="0.2">
      <c r="A778" s="10"/>
      <c r="F778" s="7"/>
      <c r="G778" s="9"/>
      <c r="I778" s="10"/>
      <c r="N778" s="7"/>
      <c r="O778" s="9"/>
    </row>
    <row r="779" spans="1:15" x14ac:dyDescent="0.2">
      <c r="A779" s="10"/>
      <c r="F779" s="7"/>
      <c r="G779" s="9"/>
      <c r="I779" s="10"/>
      <c r="N779" s="7"/>
      <c r="O779" s="9"/>
    </row>
    <row r="780" spans="1:15" x14ac:dyDescent="0.2">
      <c r="A780" s="10"/>
      <c r="F780" s="7"/>
      <c r="G780" s="9"/>
      <c r="I780" s="10"/>
      <c r="N780" s="7"/>
      <c r="O780" s="9"/>
    </row>
    <row r="781" spans="1:15" x14ac:dyDescent="0.2">
      <c r="A781" s="10"/>
      <c r="F781" s="7"/>
      <c r="G781" s="9"/>
      <c r="I781" s="10"/>
      <c r="N781" s="7"/>
      <c r="O781" s="9"/>
    </row>
    <row r="782" spans="1:15" x14ac:dyDescent="0.2">
      <c r="A782" s="10"/>
      <c r="F782" s="7"/>
      <c r="G782" s="9"/>
      <c r="I782" s="10"/>
      <c r="N782" s="7"/>
      <c r="O782" s="9"/>
    </row>
    <row r="783" spans="1:15" x14ac:dyDescent="0.2">
      <c r="A783" s="10"/>
      <c r="F783" s="7"/>
      <c r="G783" s="9"/>
      <c r="I783" s="10"/>
      <c r="N783" s="7"/>
      <c r="O783" s="9"/>
    </row>
    <row r="784" spans="1:15" x14ac:dyDescent="0.2">
      <c r="A784" s="10"/>
      <c r="F784" s="7"/>
      <c r="G784" s="9"/>
      <c r="I784" s="10"/>
      <c r="N784" s="7"/>
      <c r="O784" s="9"/>
    </row>
    <row r="785" spans="1:15" x14ac:dyDescent="0.2">
      <c r="A785" s="10"/>
      <c r="F785" s="7"/>
      <c r="G785" s="9"/>
      <c r="I785" s="10"/>
      <c r="N785" s="7"/>
      <c r="O785" s="9"/>
    </row>
    <row r="786" spans="1:15" x14ac:dyDescent="0.2">
      <c r="A786" s="10"/>
      <c r="F786" s="7"/>
      <c r="G786" s="9"/>
      <c r="I786" s="10"/>
      <c r="N786" s="7"/>
      <c r="O786" s="9"/>
    </row>
    <row r="787" spans="1:15" x14ac:dyDescent="0.2">
      <c r="A787" s="10"/>
      <c r="F787" s="7"/>
      <c r="G787" s="9"/>
      <c r="I787" s="10"/>
      <c r="N787" s="7"/>
      <c r="O787" s="9"/>
    </row>
    <row r="788" spans="1:15" x14ac:dyDescent="0.2">
      <c r="A788" s="10"/>
      <c r="F788" s="7"/>
      <c r="G788" s="9"/>
      <c r="I788" s="10"/>
      <c r="N788" s="7"/>
      <c r="O788" s="9"/>
    </row>
    <row r="789" spans="1:15" x14ac:dyDescent="0.2">
      <c r="A789" s="10"/>
      <c r="F789" s="7"/>
      <c r="G789" s="9"/>
      <c r="I789" s="10"/>
      <c r="N789" s="7"/>
      <c r="O789" s="9"/>
    </row>
    <row r="790" spans="1:15" x14ac:dyDescent="0.2">
      <c r="A790" s="10"/>
      <c r="F790" s="7"/>
      <c r="G790" s="9"/>
      <c r="I790" s="10"/>
      <c r="N790" s="7"/>
      <c r="O790" s="9"/>
    </row>
    <row r="791" spans="1:15" x14ac:dyDescent="0.2">
      <c r="A791" s="10"/>
      <c r="F791" s="7"/>
      <c r="G791" s="9"/>
      <c r="I791" s="10"/>
      <c r="N791" s="7"/>
      <c r="O791" s="9"/>
    </row>
    <row r="792" spans="1:15" x14ac:dyDescent="0.2">
      <c r="A792" s="10"/>
      <c r="F792" s="7"/>
      <c r="G792" s="9"/>
      <c r="I792" s="10"/>
      <c r="N792" s="7"/>
      <c r="O792" s="9"/>
    </row>
    <row r="793" spans="1:15" x14ac:dyDescent="0.2">
      <c r="A793" s="10"/>
      <c r="F793" s="7"/>
      <c r="G793" s="9"/>
      <c r="I793" s="10"/>
      <c r="N793" s="7"/>
      <c r="O793" s="9"/>
    </row>
    <row r="794" spans="1:15" x14ac:dyDescent="0.2">
      <c r="A794" s="10"/>
      <c r="F794" s="7"/>
      <c r="G794" s="9"/>
      <c r="I794" s="10"/>
      <c r="N794" s="7"/>
      <c r="O794" s="9"/>
    </row>
    <row r="795" spans="1:15" x14ac:dyDescent="0.2">
      <c r="A795" s="10"/>
      <c r="F795" s="7"/>
      <c r="G795" s="9"/>
      <c r="I795" s="10"/>
      <c r="N795" s="7"/>
      <c r="O795" s="9"/>
    </row>
    <row r="796" spans="1:15" x14ac:dyDescent="0.2">
      <c r="A796" s="10"/>
      <c r="F796" s="7"/>
      <c r="G796" s="9"/>
      <c r="I796" s="10"/>
      <c r="N796" s="7"/>
      <c r="O796" s="9"/>
    </row>
    <row r="797" spans="1:15" x14ac:dyDescent="0.2">
      <c r="A797" s="10"/>
      <c r="F797" s="7"/>
      <c r="G797" s="9"/>
      <c r="I797" s="10"/>
      <c r="N797" s="7"/>
      <c r="O797" s="9"/>
    </row>
    <row r="798" spans="1:15" x14ac:dyDescent="0.2">
      <c r="A798" s="10"/>
      <c r="F798" s="7"/>
      <c r="G798" s="9"/>
      <c r="I798" s="10"/>
      <c r="N798" s="7"/>
      <c r="O798" s="9"/>
    </row>
    <row r="799" spans="1:15" x14ac:dyDescent="0.2">
      <c r="A799" s="10"/>
      <c r="F799" s="7"/>
      <c r="G799" s="9"/>
      <c r="I799" s="10"/>
      <c r="N799" s="7"/>
      <c r="O799" s="9"/>
    </row>
    <row r="800" spans="1:15" x14ac:dyDescent="0.2">
      <c r="A800" s="10"/>
      <c r="F800" s="7"/>
      <c r="G800" s="9"/>
      <c r="I800" s="10"/>
      <c r="N800" s="7"/>
      <c r="O800" s="9"/>
    </row>
    <row r="801" spans="1:15" x14ac:dyDescent="0.2">
      <c r="A801" s="10"/>
      <c r="F801" s="7"/>
      <c r="G801" s="9"/>
      <c r="I801" s="10"/>
      <c r="N801" s="7"/>
      <c r="O801" s="9"/>
    </row>
    <row r="802" spans="1:15" x14ac:dyDescent="0.2">
      <c r="A802" s="10"/>
      <c r="F802" s="7"/>
      <c r="G802" s="9"/>
      <c r="I802" s="10"/>
      <c r="N802" s="7"/>
      <c r="O802" s="9"/>
    </row>
    <row r="803" spans="1:15" x14ac:dyDescent="0.2">
      <c r="A803" s="10"/>
      <c r="F803" s="7"/>
      <c r="G803" s="9"/>
      <c r="I803" s="10"/>
      <c r="N803" s="7"/>
      <c r="O803" s="9"/>
    </row>
    <row r="804" spans="1:15" x14ac:dyDescent="0.2">
      <c r="A804" s="10"/>
      <c r="F804" s="7"/>
      <c r="G804" s="9"/>
      <c r="I804" s="10"/>
      <c r="N804" s="7"/>
      <c r="O804" s="9"/>
    </row>
    <row r="805" spans="1:15" x14ac:dyDescent="0.2">
      <c r="A805" s="10"/>
      <c r="F805" s="7"/>
      <c r="G805" s="9"/>
      <c r="I805" s="10"/>
      <c r="N805" s="7"/>
      <c r="O805" s="9"/>
    </row>
    <row r="806" spans="1:15" x14ac:dyDescent="0.2">
      <c r="A806" s="10"/>
      <c r="F806" s="7"/>
      <c r="G806" s="9"/>
      <c r="I806" s="10"/>
      <c r="N806" s="7"/>
      <c r="O806" s="9"/>
    </row>
    <row r="807" spans="1:15" x14ac:dyDescent="0.2">
      <c r="A807" s="10"/>
      <c r="F807" s="7"/>
      <c r="G807" s="9"/>
      <c r="I807" s="10"/>
      <c r="N807" s="7"/>
      <c r="O807" s="9"/>
    </row>
    <row r="808" spans="1:15" x14ac:dyDescent="0.2">
      <c r="A808" s="10"/>
      <c r="F808" s="7"/>
      <c r="G808" s="9"/>
      <c r="I808" s="10"/>
      <c r="N808" s="7"/>
      <c r="O808" s="9"/>
    </row>
    <row r="809" spans="1:15" x14ac:dyDescent="0.2">
      <c r="A809" s="10"/>
      <c r="F809" s="7"/>
      <c r="G809" s="9"/>
      <c r="I809" s="10"/>
      <c r="N809" s="7"/>
      <c r="O809" s="9"/>
    </row>
    <row r="810" spans="1:15" x14ac:dyDescent="0.2">
      <c r="A810" s="10"/>
      <c r="F810" s="7"/>
      <c r="G810" s="9"/>
      <c r="I810" s="10"/>
      <c r="N810" s="7"/>
      <c r="O810" s="9"/>
    </row>
    <row r="811" spans="1:15" x14ac:dyDescent="0.2">
      <c r="A811" s="10"/>
      <c r="F811" s="7"/>
      <c r="G811" s="9"/>
      <c r="I811" s="10"/>
      <c r="N811" s="7"/>
      <c r="O811" s="9"/>
    </row>
    <row r="812" spans="1:15" x14ac:dyDescent="0.2">
      <c r="A812" s="10"/>
      <c r="F812" s="7"/>
      <c r="G812" s="9"/>
      <c r="I812" s="10"/>
      <c r="N812" s="7"/>
      <c r="O812" s="9"/>
    </row>
    <row r="813" spans="1:15" x14ac:dyDescent="0.2">
      <c r="A813" s="10"/>
      <c r="F813" s="7"/>
      <c r="G813" s="9"/>
      <c r="I813" s="10"/>
      <c r="N813" s="7"/>
      <c r="O813" s="9"/>
    </row>
    <row r="814" spans="1:15" x14ac:dyDescent="0.2">
      <c r="A814" s="10"/>
      <c r="F814" s="7"/>
      <c r="G814" s="9"/>
      <c r="I814" s="10"/>
      <c r="N814" s="7"/>
      <c r="O814" s="9"/>
    </row>
    <row r="815" spans="1:15" x14ac:dyDescent="0.2">
      <c r="A815" s="10"/>
      <c r="F815" s="7"/>
      <c r="G815" s="9"/>
      <c r="I815" s="10"/>
      <c r="N815" s="7"/>
      <c r="O815" s="9"/>
    </row>
    <row r="816" spans="1:15" x14ac:dyDescent="0.2">
      <c r="A816" s="10"/>
      <c r="F816" s="7"/>
      <c r="G816" s="9"/>
      <c r="I816" s="10"/>
      <c r="N816" s="7"/>
      <c r="O816" s="9"/>
    </row>
    <row r="817" spans="1:15" x14ac:dyDescent="0.2">
      <c r="A817" s="10"/>
      <c r="F817" s="7"/>
      <c r="G817" s="9"/>
      <c r="I817" s="10"/>
      <c r="N817" s="7"/>
      <c r="O817" s="9"/>
    </row>
    <row r="818" spans="1:15" x14ac:dyDescent="0.2">
      <c r="A818" s="10"/>
      <c r="F818" s="7"/>
      <c r="G818" s="9"/>
      <c r="I818" s="10"/>
      <c r="N818" s="7"/>
      <c r="O818" s="9"/>
    </row>
    <row r="819" spans="1:15" x14ac:dyDescent="0.2">
      <c r="A819" s="10"/>
      <c r="F819" s="7"/>
      <c r="G819" s="9"/>
      <c r="I819" s="10"/>
      <c r="N819" s="7"/>
      <c r="O819" s="9"/>
    </row>
    <row r="820" spans="1:15" x14ac:dyDescent="0.2">
      <c r="A820" s="10"/>
      <c r="F820" s="7"/>
      <c r="G820" s="9"/>
      <c r="I820" s="10"/>
      <c r="N820" s="7"/>
      <c r="O820" s="9"/>
    </row>
    <row r="821" spans="1:15" x14ac:dyDescent="0.2">
      <c r="A821" s="10"/>
      <c r="F821" s="7"/>
      <c r="G821" s="9"/>
      <c r="I821" s="10"/>
      <c r="N821" s="7"/>
      <c r="O821" s="9"/>
    </row>
    <row r="822" spans="1:15" x14ac:dyDescent="0.2">
      <c r="A822" s="10"/>
      <c r="F822" s="7"/>
      <c r="G822" s="9"/>
      <c r="I822" s="10"/>
      <c r="N822" s="7"/>
      <c r="O822" s="9"/>
    </row>
    <row r="823" spans="1:15" x14ac:dyDescent="0.2">
      <c r="A823" s="10"/>
      <c r="F823" s="7"/>
      <c r="G823" s="9"/>
      <c r="I823" s="10"/>
      <c r="N823" s="7"/>
      <c r="O823" s="9"/>
    </row>
    <row r="824" spans="1:15" x14ac:dyDescent="0.2">
      <c r="A824" s="10"/>
      <c r="F824" s="7"/>
      <c r="G824" s="9"/>
      <c r="I824" s="10"/>
      <c r="N824" s="7"/>
      <c r="O824" s="9"/>
    </row>
    <row r="825" spans="1:15" x14ac:dyDescent="0.2">
      <c r="A825" s="10"/>
      <c r="F825" s="7"/>
      <c r="G825" s="9"/>
      <c r="I825" s="10"/>
      <c r="N825" s="7"/>
      <c r="O825" s="9"/>
    </row>
    <row r="826" spans="1:15" x14ac:dyDescent="0.2">
      <c r="A826" s="10"/>
      <c r="F826" s="7"/>
      <c r="G826" s="9"/>
      <c r="I826" s="10"/>
      <c r="N826" s="7"/>
      <c r="O826" s="9"/>
    </row>
    <row r="827" spans="1:15" x14ac:dyDescent="0.2">
      <c r="A827" s="10"/>
      <c r="F827" s="7"/>
      <c r="G827" s="9"/>
      <c r="I827" s="10"/>
      <c r="N827" s="7"/>
      <c r="O827" s="9"/>
    </row>
    <row r="828" spans="1:15" x14ac:dyDescent="0.2">
      <c r="A828" s="10"/>
      <c r="F828" s="7"/>
      <c r="G828" s="9"/>
      <c r="I828" s="10"/>
      <c r="N828" s="7"/>
      <c r="O828" s="9"/>
    </row>
    <row r="829" spans="1:15" x14ac:dyDescent="0.2">
      <c r="A829" s="10"/>
      <c r="F829" s="7"/>
      <c r="G829" s="9"/>
      <c r="I829" s="10"/>
      <c r="N829" s="7"/>
      <c r="O829" s="9"/>
    </row>
    <row r="830" spans="1:15" x14ac:dyDescent="0.2">
      <c r="A830" s="10"/>
      <c r="F830" s="7"/>
      <c r="G830" s="9"/>
      <c r="I830" s="10"/>
      <c r="N830" s="7"/>
      <c r="O830" s="9"/>
    </row>
    <row r="831" spans="1:15" x14ac:dyDescent="0.2">
      <c r="A831" s="10"/>
      <c r="F831" s="7"/>
      <c r="G831" s="9"/>
      <c r="I831" s="10"/>
      <c r="N831" s="7"/>
      <c r="O831" s="9"/>
    </row>
    <row r="832" spans="1:15" x14ac:dyDescent="0.2">
      <c r="A832" s="10"/>
      <c r="F832" s="7"/>
      <c r="G832" s="9"/>
      <c r="I832" s="10"/>
      <c r="N832" s="7"/>
      <c r="O832" s="9"/>
    </row>
    <row r="833" spans="1:15" x14ac:dyDescent="0.2">
      <c r="A833" s="10"/>
      <c r="F833" s="7"/>
      <c r="G833" s="9"/>
      <c r="I833" s="10"/>
      <c r="N833" s="7"/>
      <c r="O833" s="9"/>
    </row>
    <row r="834" spans="1:15" x14ac:dyDescent="0.2">
      <c r="A834" s="10"/>
      <c r="F834" s="7"/>
      <c r="G834" s="9"/>
      <c r="I834" s="10"/>
      <c r="N834" s="7"/>
      <c r="O834" s="9"/>
    </row>
    <row r="835" spans="1:15" x14ac:dyDescent="0.2">
      <c r="A835" s="10"/>
      <c r="F835" s="7"/>
      <c r="G835" s="9"/>
      <c r="I835" s="10"/>
      <c r="N835" s="7"/>
      <c r="O835" s="9"/>
    </row>
    <row r="836" spans="1:15" x14ac:dyDescent="0.2">
      <c r="A836" s="10"/>
      <c r="F836" s="7"/>
      <c r="G836" s="9"/>
      <c r="I836" s="10"/>
      <c r="N836" s="7"/>
      <c r="O836" s="9"/>
    </row>
    <row r="837" spans="1:15" x14ac:dyDescent="0.2">
      <c r="A837" s="10"/>
      <c r="F837" s="7"/>
      <c r="G837" s="9"/>
      <c r="I837" s="10"/>
      <c r="N837" s="7"/>
      <c r="O837" s="9"/>
    </row>
    <row r="838" spans="1:15" x14ac:dyDescent="0.2">
      <c r="A838" s="10"/>
      <c r="F838" s="7"/>
      <c r="G838" s="9"/>
      <c r="I838" s="10"/>
      <c r="N838" s="7"/>
      <c r="O838" s="9"/>
    </row>
    <row r="839" spans="1:15" x14ac:dyDescent="0.2">
      <c r="A839" s="10"/>
      <c r="F839" s="7"/>
      <c r="G839" s="9"/>
      <c r="I839" s="10"/>
      <c r="N839" s="7"/>
      <c r="O839" s="9"/>
    </row>
    <row r="840" spans="1:15" x14ac:dyDescent="0.2">
      <c r="A840" s="10"/>
      <c r="F840" s="7"/>
      <c r="G840" s="9"/>
      <c r="I840" s="10"/>
      <c r="N840" s="7"/>
      <c r="O840" s="9"/>
    </row>
    <row r="841" spans="1:15" x14ac:dyDescent="0.2">
      <c r="A841" s="10"/>
      <c r="F841" s="7"/>
      <c r="G841" s="9"/>
      <c r="I841" s="10"/>
      <c r="N841" s="7"/>
      <c r="O841" s="9"/>
    </row>
    <row r="842" spans="1:15" x14ac:dyDescent="0.2">
      <c r="A842" s="10"/>
      <c r="F842" s="7"/>
      <c r="G842" s="9"/>
      <c r="I842" s="10"/>
      <c r="N842" s="7"/>
      <c r="O842" s="9"/>
    </row>
    <row r="843" spans="1:15" x14ac:dyDescent="0.2">
      <c r="A843" s="10"/>
      <c r="F843" s="7"/>
      <c r="G843" s="9"/>
      <c r="I843" s="10"/>
      <c r="N843" s="7"/>
      <c r="O843" s="9"/>
    </row>
    <row r="844" spans="1:15" x14ac:dyDescent="0.2">
      <c r="A844" s="10"/>
      <c r="F844" s="7"/>
      <c r="G844" s="9"/>
      <c r="I844" s="10"/>
      <c r="N844" s="7"/>
      <c r="O844" s="9"/>
    </row>
    <row r="845" spans="1:15" x14ac:dyDescent="0.2">
      <c r="A845" s="10"/>
      <c r="F845" s="7"/>
      <c r="G845" s="9"/>
      <c r="I845" s="10"/>
      <c r="N845" s="7"/>
      <c r="O845" s="9"/>
    </row>
    <row r="846" spans="1:15" x14ac:dyDescent="0.2">
      <c r="A846" s="10"/>
      <c r="F846" s="7"/>
      <c r="G846" s="9"/>
      <c r="I846" s="10"/>
      <c r="N846" s="7"/>
      <c r="O846" s="9"/>
    </row>
    <row r="847" spans="1:15" x14ac:dyDescent="0.2">
      <c r="A847" s="10"/>
      <c r="F847" s="7"/>
      <c r="G847" s="9"/>
      <c r="I847" s="10"/>
      <c r="N847" s="7"/>
      <c r="O847" s="9"/>
    </row>
    <row r="848" spans="1:15" x14ac:dyDescent="0.2">
      <c r="A848" s="10"/>
      <c r="F848" s="7"/>
      <c r="G848" s="9"/>
      <c r="I848" s="10"/>
      <c r="N848" s="7"/>
      <c r="O848" s="9"/>
    </row>
    <row r="849" spans="1:15" x14ac:dyDescent="0.2">
      <c r="A849" s="10"/>
      <c r="F849" s="7"/>
      <c r="G849" s="9"/>
      <c r="I849" s="10"/>
      <c r="N849" s="7"/>
      <c r="O849" s="9"/>
    </row>
    <row r="850" spans="1:15" x14ac:dyDescent="0.2">
      <c r="A850" s="10"/>
      <c r="F850" s="7"/>
      <c r="G850" s="9"/>
      <c r="I850" s="10"/>
      <c r="N850" s="7"/>
      <c r="O850" s="9"/>
    </row>
    <row r="851" spans="1:15" x14ac:dyDescent="0.2">
      <c r="A851" s="10"/>
      <c r="F851" s="7"/>
      <c r="G851" s="9"/>
      <c r="I851" s="10"/>
      <c r="N851" s="7"/>
      <c r="O851" s="9"/>
    </row>
    <row r="852" spans="1:15" x14ac:dyDescent="0.2">
      <c r="A852" s="10"/>
      <c r="F852" s="7"/>
      <c r="G852" s="9"/>
      <c r="I852" s="10"/>
      <c r="N852" s="7"/>
      <c r="O852" s="9"/>
    </row>
    <row r="853" spans="1:15" x14ac:dyDescent="0.2">
      <c r="A853" s="10"/>
      <c r="F853" s="7"/>
      <c r="G853" s="9"/>
      <c r="I853" s="10"/>
      <c r="N853" s="7"/>
      <c r="O853" s="9"/>
    </row>
    <row r="854" spans="1:15" x14ac:dyDescent="0.2">
      <c r="A854" s="10"/>
      <c r="F854" s="7"/>
      <c r="G854" s="9"/>
      <c r="I854" s="10"/>
      <c r="N854" s="7"/>
      <c r="O854" s="9"/>
    </row>
    <row r="855" spans="1:15" x14ac:dyDescent="0.2">
      <c r="A855" s="10"/>
      <c r="F855" s="7"/>
      <c r="G855" s="9"/>
      <c r="I855" s="10"/>
      <c r="N855" s="7"/>
      <c r="O855" s="9"/>
    </row>
    <row r="856" spans="1:15" x14ac:dyDescent="0.2">
      <c r="A856" s="10"/>
      <c r="F856" s="7"/>
      <c r="G856" s="9"/>
      <c r="I856" s="10"/>
      <c r="N856" s="7"/>
      <c r="O856" s="9"/>
    </row>
    <row r="857" spans="1:15" x14ac:dyDescent="0.2">
      <c r="A857" s="10"/>
      <c r="F857" s="7"/>
      <c r="G857" s="9"/>
      <c r="I857" s="10"/>
      <c r="N857" s="7"/>
      <c r="O857" s="9"/>
    </row>
    <row r="858" spans="1:15" x14ac:dyDescent="0.2">
      <c r="A858" s="10"/>
      <c r="F858" s="7"/>
      <c r="G858" s="9"/>
      <c r="I858" s="10"/>
      <c r="N858" s="7"/>
      <c r="O858" s="9"/>
    </row>
    <row r="859" spans="1:15" x14ac:dyDescent="0.2">
      <c r="A859" s="10"/>
      <c r="F859" s="7"/>
      <c r="G859" s="9"/>
      <c r="I859" s="10"/>
      <c r="N859" s="7"/>
      <c r="O859" s="9"/>
    </row>
    <row r="860" spans="1:15" x14ac:dyDescent="0.2">
      <c r="A860" s="10"/>
      <c r="F860" s="7"/>
      <c r="G860" s="9"/>
      <c r="I860" s="10"/>
      <c r="N860" s="7"/>
      <c r="O860" s="9"/>
    </row>
    <row r="861" spans="1:15" x14ac:dyDescent="0.2">
      <c r="A861" s="10"/>
      <c r="F861" s="7"/>
      <c r="G861" s="9"/>
      <c r="I861" s="10"/>
      <c r="N861" s="7"/>
      <c r="O861" s="9"/>
    </row>
    <row r="862" spans="1:15" x14ac:dyDescent="0.2">
      <c r="A862" s="10"/>
      <c r="F862" s="7"/>
      <c r="G862" s="9"/>
      <c r="I862" s="10"/>
      <c r="N862" s="7"/>
      <c r="O862" s="9"/>
    </row>
    <row r="863" spans="1:15" x14ac:dyDescent="0.2">
      <c r="A863" s="10"/>
      <c r="F863" s="7"/>
      <c r="G863" s="9"/>
      <c r="I863" s="10"/>
      <c r="N863" s="7"/>
      <c r="O863" s="9"/>
    </row>
    <row r="864" spans="1:15" x14ac:dyDescent="0.2">
      <c r="A864" s="10"/>
      <c r="F864" s="7"/>
      <c r="G864" s="9"/>
      <c r="I864" s="10"/>
      <c r="N864" s="7"/>
      <c r="O864" s="9"/>
    </row>
    <row r="865" spans="1:15" x14ac:dyDescent="0.2">
      <c r="A865" s="10"/>
      <c r="F865" s="7"/>
      <c r="G865" s="9"/>
      <c r="I865" s="10"/>
      <c r="N865" s="7"/>
      <c r="O865" s="9"/>
    </row>
    <row r="866" spans="1:15" x14ac:dyDescent="0.2">
      <c r="A866" s="10"/>
      <c r="F866" s="7"/>
      <c r="G866" s="9"/>
      <c r="I866" s="10"/>
      <c r="N866" s="7"/>
      <c r="O866" s="9"/>
    </row>
    <row r="867" spans="1:15" x14ac:dyDescent="0.2">
      <c r="A867" s="10"/>
      <c r="F867" s="7"/>
      <c r="G867" s="9"/>
      <c r="I867" s="10"/>
      <c r="N867" s="7"/>
      <c r="O867" s="9"/>
    </row>
    <row r="868" spans="1:15" x14ac:dyDescent="0.2">
      <c r="A868" s="10"/>
      <c r="F868" s="7"/>
      <c r="G868" s="9"/>
      <c r="I868" s="10"/>
      <c r="N868" s="7"/>
      <c r="O868" s="9"/>
    </row>
    <row r="869" spans="1:15" x14ac:dyDescent="0.2">
      <c r="A869" s="10"/>
      <c r="F869" s="7"/>
      <c r="G869" s="9"/>
      <c r="I869" s="10"/>
      <c r="N869" s="7"/>
      <c r="O869" s="9"/>
    </row>
    <row r="870" spans="1:15" x14ac:dyDescent="0.2">
      <c r="A870" s="10"/>
      <c r="F870" s="7"/>
      <c r="G870" s="9"/>
      <c r="I870" s="10"/>
      <c r="N870" s="7"/>
      <c r="O870" s="9"/>
    </row>
    <row r="871" spans="1:15" x14ac:dyDescent="0.2">
      <c r="A871" s="10"/>
      <c r="F871" s="7"/>
      <c r="G871" s="9"/>
      <c r="I871" s="10"/>
      <c r="N871" s="7"/>
      <c r="O871" s="9"/>
    </row>
    <row r="872" spans="1:15" x14ac:dyDescent="0.2">
      <c r="A872" s="10"/>
      <c r="F872" s="7"/>
      <c r="G872" s="9"/>
      <c r="I872" s="10"/>
      <c r="N872" s="7"/>
      <c r="O872" s="9"/>
    </row>
    <row r="873" spans="1:15" x14ac:dyDescent="0.2">
      <c r="A873" s="10"/>
      <c r="F873" s="7"/>
      <c r="G873" s="9"/>
      <c r="I873" s="10"/>
      <c r="N873" s="7"/>
      <c r="O873" s="9"/>
    </row>
    <row r="874" spans="1:15" x14ac:dyDescent="0.2">
      <c r="A874" s="10"/>
      <c r="F874" s="7"/>
      <c r="G874" s="9"/>
      <c r="I874" s="10"/>
      <c r="N874" s="7"/>
      <c r="O874" s="9"/>
    </row>
    <row r="875" spans="1:15" x14ac:dyDescent="0.2">
      <c r="A875" s="10"/>
      <c r="F875" s="7"/>
      <c r="G875" s="9"/>
      <c r="I875" s="10"/>
      <c r="N875" s="7"/>
      <c r="O875" s="9"/>
    </row>
    <row r="876" spans="1:15" x14ac:dyDescent="0.2">
      <c r="A876" s="10"/>
      <c r="F876" s="7"/>
      <c r="G876" s="9"/>
      <c r="I876" s="10"/>
      <c r="N876" s="7"/>
      <c r="O876" s="9"/>
    </row>
    <row r="877" spans="1:15" x14ac:dyDescent="0.2">
      <c r="A877" s="10"/>
      <c r="F877" s="7"/>
      <c r="G877" s="9"/>
      <c r="I877" s="10"/>
      <c r="N877" s="7"/>
      <c r="O877" s="9"/>
    </row>
    <row r="878" spans="1:15" x14ac:dyDescent="0.2">
      <c r="A878" s="10"/>
      <c r="F878" s="7"/>
      <c r="G878" s="9"/>
      <c r="I878" s="10"/>
      <c r="N878" s="7"/>
      <c r="O878" s="9"/>
    </row>
    <row r="879" spans="1:15" x14ac:dyDescent="0.2">
      <c r="A879" s="10"/>
      <c r="F879" s="7"/>
      <c r="G879" s="9"/>
      <c r="I879" s="10"/>
      <c r="N879" s="7"/>
      <c r="O879" s="9"/>
    </row>
    <row r="880" spans="1:15" x14ac:dyDescent="0.2">
      <c r="A880" s="10"/>
      <c r="F880" s="7"/>
      <c r="G880" s="9"/>
      <c r="I880" s="10"/>
      <c r="N880" s="7"/>
      <c r="O880" s="9"/>
    </row>
    <row r="881" spans="1:15" x14ac:dyDescent="0.2">
      <c r="A881" s="10"/>
      <c r="F881" s="7"/>
      <c r="G881" s="9"/>
      <c r="I881" s="10"/>
      <c r="N881" s="7"/>
      <c r="O881" s="9"/>
    </row>
    <row r="882" spans="1:15" x14ac:dyDescent="0.2">
      <c r="A882" s="10"/>
      <c r="F882" s="7"/>
      <c r="G882" s="9"/>
      <c r="I882" s="10"/>
      <c r="N882" s="7"/>
      <c r="O882" s="9"/>
    </row>
    <row r="883" spans="1:15" x14ac:dyDescent="0.2">
      <c r="A883" s="10"/>
      <c r="F883" s="7"/>
      <c r="G883" s="9"/>
      <c r="I883" s="10"/>
      <c r="N883" s="7"/>
      <c r="O883" s="9"/>
    </row>
    <row r="884" spans="1:15" x14ac:dyDescent="0.2">
      <c r="A884" s="10"/>
      <c r="F884" s="7"/>
      <c r="G884" s="9"/>
      <c r="I884" s="10"/>
      <c r="N884" s="7"/>
      <c r="O884" s="9"/>
    </row>
    <row r="885" spans="1:15" x14ac:dyDescent="0.2">
      <c r="A885" s="10"/>
      <c r="F885" s="7"/>
      <c r="G885" s="9"/>
      <c r="I885" s="10"/>
      <c r="N885" s="7"/>
      <c r="O885" s="9"/>
    </row>
    <row r="886" spans="1:15" x14ac:dyDescent="0.2">
      <c r="A886" s="10"/>
      <c r="F886" s="7"/>
      <c r="G886" s="9"/>
      <c r="I886" s="10"/>
      <c r="N886" s="7"/>
      <c r="O886" s="9"/>
    </row>
    <row r="887" spans="1:15" x14ac:dyDescent="0.2">
      <c r="A887" s="10"/>
      <c r="F887" s="7"/>
      <c r="G887" s="9"/>
      <c r="I887" s="10"/>
      <c r="N887" s="7"/>
      <c r="O887" s="9"/>
    </row>
    <row r="888" spans="1:15" x14ac:dyDescent="0.2">
      <c r="A888" s="10"/>
      <c r="F888" s="7"/>
      <c r="G888" s="9"/>
      <c r="I888" s="10"/>
      <c r="N888" s="7"/>
      <c r="O888" s="9"/>
    </row>
    <row r="889" spans="1:15" x14ac:dyDescent="0.2">
      <c r="A889" s="10"/>
      <c r="F889" s="7"/>
      <c r="G889" s="9"/>
      <c r="I889" s="10"/>
      <c r="N889" s="7"/>
      <c r="O889" s="9"/>
    </row>
    <row r="890" spans="1:15" x14ac:dyDescent="0.2">
      <c r="A890" s="10"/>
      <c r="F890" s="7"/>
      <c r="G890" s="9"/>
      <c r="I890" s="10"/>
      <c r="N890" s="7"/>
      <c r="O890" s="9"/>
    </row>
    <row r="891" spans="1:15" x14ac:dyDescent="0.2">
      <c r="A891" s="10"/>
      <c r="F891" s="7"/>
      <c r="G891" s="9"/>
      <c r="I891" s="10"/>
      <c r="N891" s="7"/>
      <c r="O891" s="9"/>
    </row>
    <row r="892" spans="1:15" x14ac:dyDescent="0.2">
      <c r="A892" s="10"/>
      <c r="F892" s="7"/>
      <c r="G892" s="9"/>
      <c r="I892" s="10"/>
      <c r="N892" s="7"/>
      <c r="O892" s="9"/>
    </row>
    <row r="893" spans="1:15" x14ac:dyDescent="0.2">
      <c r="A893" s="10"/>
      <c r="F893" s="7"/>
      <c r="G893" s="9"/>
      <c r="I893" s="10"/>
      <c r="N893" s="7"/>
      <c r="O893" s="9"/>
    </row>
    <row r="894" spans="1:15" x14ac:dyDescent="0.2">
      <c r="A894" s="10"/>
      <c r="F894" s="7"/>
      <c r="G894" s="9"/>
      <c r="I894" s="10"/>
      <c r="N894" s="7"/>
      <c r="O894" s="9"/>
    </row>
    <row r="895" spans="1:15" x14ac:dyDescent="0.2">
      <c r="A895" s="10"/>
      <c r="F895" s="7"/>
      <c r="G895" s="9"/>
      <c r="I895" s="10"/>
      <c r="N895" s="7"/>
      <c r="O895" s="9"/>
    </row>
    <row r="896" spans="1:15" x14ac:dyDescent="0.2">
      <c r="A896" s="10"/>
      <c r="F896" s="7"/>
      <c r="G896" s="9"/>
      <c r="I896" s="10"/>
      <c r="N896" s="7"/>
      <c r="O896" s="9"/>
    </row>
    <row r="897" spans="1:15" x14ac:dyDescent="0.2">
      <c r="A897" s="10"/>
      <c r="F897" s="7"/>
      <c r="G897" s="9"/>
      <c r="I897" s="10"/>
      <c r="N897" s="7"/>
      <c r="O897" s="9"/>
    </row>
    <row r="898" spans="1:15" x14ac:dyDescent="0.2">
      <c r="A898" s="10"/>
      <c r="F898" s="7"/>
      <c r="G898" s="9"/>
      <c r="I898" s="10"/>
      <c r="N898" s="7"/>
      <c r="O898" s="9"/>
    </row>
    <row r="899" spans="1:15" x14ac:dyDescent="0.2">
      <c r="A899" s="10"/>
      <c r="F899" s="7"/>
      <c r="G899" s="9"/>
      <c r="I899" s="10"/>
      <c r="N899" s="7"/>
      <c r="O899" s="9"/>
    </row>
    <row r="900" spans="1:15" x14ac:dyDescent="0.2">
      <c r="A900" s="10"/>
      <c r="F900" s="7"/>
      <c r="G900" s="9"/>
      <c r="I900" s="10"/>
      <c r="N900" s="7"/>
      <c r="O900" s="9"/>
    </row>
    <row r="901" spans="1:15" x14ac:dyDescent="0.2">
      <c r="A901" s="10"/>
      <c r="F901" s="7"/>
      <c r="G901" s="9"/>
      <c r="I901" s="10"/>
      <c r="N901" s="7"/>
      <c r="O901" s="9"/>
    </row>
    <row r="902" spans="1:15" x14ac:dyDescent="0.2">
      <c r="A902" s="10"/>
      <c r="F902" s="7"/>
      <c r="G902" s="9"/>
      <c r="I902" s="10"/>
      <c r="N902" s="7"/>
      <c r="O902" s="9"/>
    </row>
    <row r="903" spans="1:15" x14ac:dyDescent="0.2">
      <c r="A903" s="10"/>
      <c r="F903" s="7"/>
      <c r="G903" s="9"/>
      <c r="I903" s="10"/>
      <c r="N903" s="7"/>
      <c r="O903" s="9"/>
    </row>
    <row r="904" spans="1:15" x14ac:dyDescent="0.2">
      <c r="A904" s="10"/>
      <c r="F904" s="7"/>
      <c r="G904" s="9"/>
      <c r="I904" s="10"/>
      <c r="N904" s="7"/>
      <c r="O904" s="9"/>
    </row>
    <row r="905" spans="1:15" x14ac:dyDescent="0.2">
      <c r="A905" s="10"/>
      <c r="F905" s="7"/>
      <c r="G905" s="9"/>
      <c r="I905" s="10"/>
      <c r="N905" s="7"/>
      <c r="O905" s="9"/>
    </row>
    <row r="906" spans="1:15" x14ac:dyDescent="0.2">
      <c r="A906" s="10"/>
      <c r="F906" s="7"/>
      <c r="G906" s="9"/>
      <c r="I906" s="10"/>
      <c r="N906" s="7"/>
      <c r="O906" s="9"/>
    </row>
    <row r="907" spans="1:15" x14ac:dyDescent="0.2">
      <c r="A907" s="10"/>
      <c r="F907" s="7"/>
      <c r="G907" s="9"/>
      <c r="I907" s="10"/>
      <c r="N907" s="7"/>
      <c r="O907" s="9"/>
    </row>
    <row r="908" spans="1:15" x14ac:dyDescent="0.2">
      <c r="A908" s="10"/>
      <c r="F908" s="7"/>
      <c r="G908" s="9"/>
      <c r="I908" s="10"/>
      <c r="N908" s="7"/>
      <c r="O908" s="9"/>
    </row>
    <row r="909" spans="1:15" x14ac:dyDescent="0.2">
      <c r="A909" s="10"/>
      <c r="F909" s="7"/>
      <c r="G909" s="9"/>
      <c r="I909" s="10"/>
      <c r="N909" s="7"/>
      <c r="O909" s="9"/>
    </row>
    <row r="910" spans="1:15" x14ac:dyDescent="0.2">
      <c r="A910" s="10"/>
      <c r="F910" s="7"/>
      <c r="G910" s="9"/>
      <c r="I910" s="10"/>
      <c r="N910" s="7"/>
      <c r="O910" s="9"/>
    </row>
    <row r="911" spans="1:15" x14ac:dyDescent="0.2">
      <c r="A911" s="10"/>
      <c r="F911" s="7"/>
      <c r="G911" s="9"/>
      <c r="I911" s="10"/>
      <c r="N911" s="7"/>
      <c r="O911" s="9"/>
    </row>
    <row r="912" spans="1:15" x14ac:dyDescent="0.2">
      <c r="A912" s="10"/>
      <c r="F912" s="7"/>
      <c r="G912" s="9"/>
      <c r="I912" s="10"/>
      <c r="N912" s="7"/>
      <c r="O912" s="9"/>
    </row>
    <row r="913" spans="1:15" x14ac:dyDescent="0.2">
      <c r="A913" s="10"/>
      <c r="F913" s="7"/>
      <c r="G913" s="9"/>
      <c r="I913" s="10"/>
      <c r="N913" s="7"/>
      <c r="O913" s="9"/>
    </row>
    <row r="914" spans="1:15" x14ac:dyDescent="0.2">
      <c r="A914" s="10"/>
      <c r="F914" s="7"/>
      <c r="G914" s="9"/>
      <c r="I914" s="10"/>
      <c r="N914" s="7"/>
      <c r="O914" s="9"/>
    </row>
    <row r="915" spans="1:15" x14ac:dyDescent="0.2">
      <c r="A915" s="10"/>
      <c r="F915" s="7"/>
      <c r="G915" s="9"/>
      <c r="I915" s="10"/>
      <c r="N915" s="7"/>
      <c r="O915" s="9"/>
    </row>
    <row r="916" spans="1:15" x14ac:dyDescent="0.2">
      <c r="A916" s="10"/>
      <c r="F916" s="7"/>
      <c r="G916" s="9"/>
      <c r="I916" s="10"/>
      <c r="N916" s="7"/>
      <c r="O916" s="9"/>
    </row>
    <row r="917" spans="1:15" x14ac:dyDescent="0.2">
      <c r="A917" s="10"/>
      <c r="F917" s="7"/>
      <c r="G917" s="9"/>
      <c r="I917" s="10"/>
      <c r="N917" s="7"/>
      <c r="O917" s="9"/>
    </row>
    <row r="918" spans="1:15" x14ac:dyDescent="0.2">
      <c r="A918" s="10"/>
      <c r="F918" s="7"/>
      <c r="G918" s="9"/>
      <c r="I918" s="10"/>
      <c r="N918" s="7"/>
      <c r="O918" s="9"/>
    </row>
    <row r="919" spans="1:15" x14ac:dyDescent="0.2">
      <c r="A919" s="10"/>
      <c r="F919" s="7"/>
      <c r="G919" s="9"/>
      <c r="I919" s="10"/>
      <c r="N919" s="7"/>
      <c r="O919" s="9"/>
    </row>
    <row r="920" spans="1:15" x14ac:dyDescent="0.2">
      <c r="A920" s="10"/>
      <c r="F920" s="7"/>
      <c r="G920" s="9"/>
      <c r="I920" s="10"/>
      <c r="N920" s="7"/>
      <c r="O920" s="9"/>
    </row>
    <row r="921" spans="1:15" x14ac:dyDescent="0.2">
      <c r="A921" s="10"/>
      <c r="F921" s="7"/>
      <c r="G921" s="9"/>
      <c r="I921" s="10"/>
      <c r="N921" s="7"/>
      <c r="O921" s="9"/>
    </row>
    <row r="922" spans="1:15" x14ac:dyDescent="0.2">
      <c r="A922" s="10"/>
      <c r="F922" s="7"/>
      <c r="G922" s="9"/>
      <c r="I922" s="10"/>
      <c r="N922" s="7"/>
      <c r="O922" s="9"/>
    </row>
    <row r="923" spans="1:15" x14ac:dyDescent="0.2">
      <c r="A923" s="10"/>
      <c r="F923" s="7"/>
      <c r="G923" s="9"/>
      <c r="I923" s="10"/>
      <c r="N923" s="7"/>
      <c r="O923" s="9"/>
    </row>
    <row r="924" spans="1:15" x14ac:dyDescent="0.2">
      <c r="A924" s="10"/>
      <c r="F924" s="7"/>
      <c r="G924" s="9"/>
      <c r="I924" s="10"/>
      <c r="N924" s="7"/>
      <c r="O924" s="9"/>
    </row>
    <row r="925" spans="1:15" x14ac:dyDescent="0.2">
      <c r="A925" s="10"/>
      <c r="F925" s="7"/>
      <c r="G925" s="9"/>
      <c r="I925" s="10"/>
      <c r="N925" s="7"/>
      <c r="O925" s="9"/>
    </row>
    <row r="926" spans="1:15" x14ac:dyDescent="0.2">
      <c r="A926" s="10"/>
      <c r="F926" s="7"/>
      <c r="G926" s="9"/>
      <c r="I926" s="10"/>
      <c r="N926" s="7"/>
      <c r="O926" s="9"/>
    </row>
    <row r="927" spans="1:15" x14ac:dyDescent="0.2">
      <c r="A927" s="10"/>
      <c r="F927" s="7"/>
      <c r="G927" s="9"/>
      <c r="I927" s="10"/>
      <c r="N927" s="7"/>
      <c r="O927" s="9"/>
    </row>
    <row r="928" spans="1:15" x14ac:dyDescent="0.2">
      <c r="A928" s="10"/>
      <c r="F928" s="7"/>
      <c r="G928" s="9"/>
      <c r="I928" s="10"/>
      <c r="N928" s="7"/>
      <c r="O928" s="9"/>
    </row>
    <row r="929" spans="1:15" x14ac:dyDescent="0.2">
      <c r="A929" s="10"/>
      <c r="F929" s="7"/>
      <c r="G929" s="9"/>
      <c r="I929" s="10"/>
      <c r="N929" s="7"/>
      <c r="O929" s="9"/>
    </row>
    <row r="930" spans="1:15" x14ac:dyDescent="0.2">
      <c r="A930" s="10"/>
      <c r="F930" s="7"/>
      <c r="G930" s="9"/>
      <c r="I930" s="10"/>
      <c r="N930" s="7"/>
      <c r="O930" s="9"/>
    </row>
    <row r="931" spans="1:15" x14ac:dyDescent="0.2">
      <c r="A931" s="10"/>
      <c r="F931" s="7"/>
      <c r="G931" s="9"/>
      <c r="I931" s="10"/>
      <c r="N931" s="7"/>
      <c r="O931" s="9"/>
    </row>
    <row r="932" spans="1:15" x14ac:dyDescent="0.2">
      <c r="A932" s="10"/>
      <c r="F932" s="7"/>
      <c r="G932" s="9"/>
      <c r="I932" s="10"/>
      <c r="N932" s="7"/>
      <c r="O932" s="9"/>
    </row>
    <row r="933" spans="1:15" x14ac:dyDescent="0.2">
      <c r="A933" s="10"/>
      <c r="F933" s="7"/>
      <c r="G933" s="9"/>
      <c r="I933" s="10"/>
      <c r="N933" s="7"/>
      <c r="O933" s="9"/>
    </row>
    <row r="934" spans="1:15" x14ac:dyDescent="0.2">
      <c r="A934" s="10"/>
      <c r="F934" s="7"/>
      <c r="G934" s="9"/>
      <c r="I934" s="10"/>
      <c r="N934" s="7"/>
      <c r="O934" s="9"/>
    </row>
    <row r="935" spans="1:15" x14ac:dyDescent="0.2">
      <c r="A935" s="10"/>
      <c r="F935" s="7"/>
      <c r="G935" s="9"/>
      <c r="I935" s="10"/>
      <c r="N935" s="7"/>
      <c r="O935" s="9"/>
    </row>
    <row r="936" spans="1:15" x14ac:dyDescent="0.2">
      <c r="A936" s="10"/>
      <c r="F936" s="7"/>
      <c r="G936" s="9"/>
      <c r="I936" s="10"/>
      <c r="N936" s="7"/>
      <c r="O936" s="9"/>
    </row>
    <row r="937" spans="1:15" x14ac:dyDescent="0.2">
      <c r="A937" s="10"/>
      <c r="F937" s="7"/>
      <c r="G937" s="9"/>
      <c r="I937" s="10"/>
      <c r="N937" s="7"/>
      <c r="O937" s="9"/>
    </row>
    <row r="938" spans="1:15" x14ac:dyDescent="0.2">
      <c r="A938" s="10"/>
      <c r="F938" s="7"/>
      <c r="G938" s="9"/>
      <c r="I938" s="10"/>
      <c r="N938" s="7"/>
      <c r="O938" s="9"/>
    </row>
    <row r="939" spans="1:15" x14ac:dyDescent="0.2">
      <c r="A939" s="10"/>
      <c r="F939" s="7"/>
      <c r="G939" s="9"/>
      <c r="I939" s="10"/>
      <c r="N939" s="7"/>
      <c r="O939" s="9"/>
    </row>
    <row r="940" spans="1:15" x14ac:dyDescent="0.2">
      <c r="A940" s="10"/>
      <c r="F940" s="7"/>
      <c r="G940" s="9"/>
      <c r="I940" s="10"/>
      <c r="N940" s="7"/>
      <c r="O940" s="9"/>
    </row>
    <row r="941" spans="1:15" x14ac:dyDescent="0.2">
      <c r="A941" s="10"/>
      <c r="F941" s="7"/>
      <c r="G941" s="9"/>
      <c r="I941" s="10"/>
      <c r="N941" s="7"/>
      <c r="O941" s="9"/>
    </row>
    <row r="942" spans="1:15" x14ac:dyDescent="0.2">
      <c r="A942" s="10"/>
      <c r="F942" s="7"/>
      <c r="G942" s="9"/>
      <c r="I942" s="10"/>
      <c r="N942" s="7"/>
      <c r="O942" s="9"/>
    </row>
    <row r="943" spans="1:15" x14ac:dyDescent="0.2">
      <c r="A943" s="10"/>
      <c r="F943" s="7"/>
      <c r="G943" s="9"/>
      <c r="I943" s="10"/>
      <c r="N943" s="7"/>
      <c r="O943" s="9"/>
    </row>
    <row r="944" spans="1:15" x14ac:dyDescent="0.2">
      <c r="A944" s="10"/>
      <c r="F944" s="7"/>
      <c r="G944" s="9"/>
      <c r="I944" s="10"/>
      <c r="N944" s="7"/>
      <c r="O944" s="9"/>
    </row>
    <row r="945" spans="1:15" x14ac:dyDescent="0.2">
      <c r="A945" s="10"/>
      <c r="F945" s="7"/>
      <c r="G945" s="9"/>
      <c r="I945" s="10"/>
      <c r="N945" s="7"/>
      <c r="O945" s="9"/>
    </row>
    <row r="946" spans="1:15" x14ac:dyDescent="0.2">
      <c r="A946" s="10"/>
      <c r="F946" s="7"/>
      <c r="G946" s="9"/>
      <c r="I946" s="10"/>
      <c r="N946" s="7"/>
      <c r="O946" s="9"/>
    </row>
    <row r="947" spans="1:15" x14ac:dyDescent="0.2">
      <c r="A947" s="10"/>
      <c r="F947" s="7"/>
      <c r="G947" s="9"/>
      <c r="I947" s="10"/>
      <c r="N947" s="7"/>
      <c r="O947" s="9"/>
    </row>
    <row r="948" spans="1:15" x14ac:dyDescent="0.2">
      <c r="A948" s="10"/>
      <c r="F948" s="7"/>
      <c r="G948" s="9"/>
      <c r="I948" s="10"/>
      <c r="N948" s="7"/>
      <c r="O948" s="9"/>
    </row>
    <row r="949" spans="1:15" x14ac:dyDescent="0.2">
      <c r="A949" s="10"/>
      <c r="F949" s="7"/>
      <c r="G949" s="9"/>
      <c r="I949" s="10"/>
      <c r="N949" s="7"/>
      <c r="O949" s="9"/>
    </row>
    <row r="950" spans="1:15" x14ac:dyDescent="0.2">
      <c r="A950" s="10"/>
      <c r="F950" s="7"/>
      <c r="G950" s="9"/>
      <c r="I950" s="10"/>
      <c r="N950" s="7"/>
      <c r="O950" s="9"/>
    </row>
    <row r="951" spans="1:15" x14ac:dyDescent="0.2">
      <c r="A951" s="10"/>
      <c r="F951" s="7"/>
      <c r="G951" s="9"/>
      <c r="I951" s="10"/>
      <c r="N951" s="7"/>
      <c r="O951" s="9"/>
    </row>
    <row r="952" spans="1:15" x14ac:dyDescent="0.2">
      <c r="A952" s="10"/>
      <c r="F952" s="7"/>
      <c r="G952" s="9"/>
      <c r="I952" s="10"/>
      <c r="N952" s="7"/>
      <c r="O952" s="9"/>
    </row>
    <row r="953" spans="1:15" x14ac:dyDescent="0.2">
      <c r="A953" s="10"/>
      <c r="F953" s="7"/>
      <c r="G953" s="9"/>
      <c r="I953" s="10"/>
      <c r="N953" s="7"/>
      <c r="O953" s="9"/>
    </row>
    <row r="954" spans="1:15" x14ac:dyDescent="0.2">
      <c r="A954" s="10"/>
      <c r="F954" s="7"/>
      <c r="G954" s="9"/>
      <c r="I954" s="10"/>
      <c r="N954" s="7"/>
      <c r="O954" s="9"/>
    </row>
    <row r="955" spans="1:15" x14ac:dyDescent="0.2">
      <c r="A955" s="10"/>
      <c r="F955" s="7"/>
      <c r="G955" s="9"/>
      <c r="I955" s="10"/>
      <c r="N955" s="7"/>
      <c r="O955" s="9"/>
    </row>
    <row r="956" spans="1:15" x14ac:dyDescent="0.2">
      <c r="A956" s="10"/>
      <c r="F956" s="7"/>
      <c r="G956" s="9"/>
      <c r="I956" s="10"/>
      <c r="N956" s="7"/>
      <c r="O956" s="9"/>
    </row>
    <row r="957" spans="1:15" x14ac:dyDescent="0.2">
      <c r="A957" s="10"/>
      <c r="F957" s="7"/>
      <c r="G957" s="9"/>
      <c r="I957" s="10"/>
      <c r="N957" s="7"/>
      <c r="O957" s="9"/>
    </row>
    <row r="958" spans="1:15" x14ac:dyDescent="0.2">
      <c r="A958" s="10"/>
      <c r="F958" s="7"/>
      <c r="G958" s="9"/>
      <c r="I958" s="10"/>
      <c r="N958" s="7"/>
      <c r="O958" s="9"/>
    </row>
    <row r="959" spans="1:15" x14ac:dyDescent="0.2">
      <c r="A959" s="10"/>
      <c r="F959" s="7"/>
      <c r="G959" s="9"/>
      <c r="I959" s="10"/>
      <c r="N959" s="7"/>
      <c r="O959" s="9"/>
    </row>
    <row r="960" spans="1:15" x14ac:dyDescent="0.2">
      <c r="A960" s="10"/>
      <c r="F960" s="7"/>
      <c r="G960" s="9"/>
      <c r="I960" s="10"/>
      <c r="N960" s="7"/>
      <c r="O960" s="9"/>
    </row>
    <row r="961" spans="1:15" x14ac:dyDescent="0.2">
      <c r="A961" s="10"/>
      <c r="F961" s="7"/>
      <c r="G961" s="9"/>
      <c r="I961" s="10"/>
      <c r="N961" s="7"/>
      <c r="O961" s="9"/>
    </row>
    <row r="962" spans="1:15" x14ac:dyDescent="0.2">
      <c r="A962" s="10"/>
      <c r="F962" s="7"/>
      <c r="G962" s="9"/>
      <c r="I962" s="10"/>
      <c r="N962" s="7"/>
      <c r="O962" s="9"/>
    </row>
    <row r="963" spans="1:15" x14ac:dyDescent="0.2">
      <c r="A963" s="10"/>
      <c r="F963" s="7"/>
      <c r="G963" s="9"/>
      <c r="I963" s="10"/>
      <c r="N963" s="7"/>
      <c r="O963" s="9"/>
    </row>
    <row r="964" spans="1:15" x14ac:dyDescent="0.2">
      <c r="A964" s="10"/>
      <c r="F964" s="7"/>
      <c r="G964" s="9"/>
      <c r="I964" s="10"/>
      <c r="N964" s="7"/>
      <c r="O964" s="9"/>
    </row>
    <row r="965" spans="1:15" x14ac:dyDescent="0.2">
      <c r="A965" s="10"/>
      <c r="F965" s="7"/>
      <c r="G965" s="9"/>
      <c r="I965" s="10"/>
      <c r="N965" s="7"/>
      <c r="O965" s="9"/>
    </row>
    <row r="966" spans="1:15" x14ac:dyDescent="0.2">
      <c r="A966" s="10"/>
      <c r="F966" s="7"/>
      <c r="G966" s="9"/>
      <c r="I966" s="10"/>
      <c r="N966" s="7"/>
      <c r="O966" s="9"/>
    </row>
    <row r="967" spans="1:15" x14ac:dyDescent="0.2">
      <c r="A967" s="10"/>
      <c r="F967" s="7"/>
      <c r="G967" s="9"/>
      <c r="I967" s="10"/>
      <c r="N967" s="7"/>
      <c r="O967" s="9"/>
    </row>
    <row r="968" spans="1:15" x14ac:dyDescent="0.2">
      <c r="A968" s="10"/>
      <c r="F968" s="7"/>
      <c r="G968" s="9"/>
      <c r="I968" s="10"/>
      <c r="N968" s="7"/>
      <c r="O968" s="9"/>
    </row>
    <row r="969" spans="1:15" x14ac:dyDescent="0.2">
      <c r="A969" s="10"/>
      <c r="F969" s="7"/>
      <c r="G969" s="9"/>
      <c r="I969" s="10"/>
      <c r="N969" s="7"/>
      <c r="O969" s="9"/>
    </row>
    <row r="970" spans="1:15" x14ac:dyDescent="0.2">
      <c r="A970" s="10"/>
      <c r="F970" s="7"/>
      <c r="G970" s="9"/>
      <c r="I970" s="10"/>
      <c r="N970" s="7"/>
      <c r="O970" s="9"/>
    </row>
    <row r="971" spans="1:15" x14ac:dyDescent="0.2">
      <c r="A971" s="10"/>
      <c r="F971" s="7"/>
      <c r="G971" s="9"/>
      <c r="I971" s="10"/>
      <c r="N971" s="7"/>
      <c r="O971" s="9"/>
    </row>
    <row r="972" spans="1:15" x14ac:dyDescent="0.2">
      <c r="A972" s="10"/>
      <c r="F972" s="7"/>
      <c r="G972" s="9"/>
      <c r="I972" s="10"/>
      <c r="N972" s="7"/>
      <c r="O972" s="9"/>
    </row>
    <row r="973" spans="1:15" x14ac:dyDescent="0.2">
      <c r="A973" s="10"/>
      <c r="F973" s="7"/>
      <c r="G973" s="9"/>
      <c r="I973" s="10"/>
      <c r="N973" s="7"/>
      <c r="O973" s="9"/>
    </row>
    <row r="974" spans="1:15" x14ac:dyDescent="0.2">
      <c r="A974" s="10"/>
      <c r="F974" s="7"/>
      <c r="G974" s="9"/>
      <c r="I974" s="10"/>
      <c r="N974" s="7"/>
      <c r="O974" s="9"/>
    </row>
    <row r="975" spans="1:15" x14ac:dyDescent="0.2">
      <c r="A975" s="10"/>
      <c r="F975" s="7"/>
      <c r="G975" s="9"/>
      <c r="I975" s="10"/>
      <c r="N975" s="7"/>
      <c r="O975" s="9"/>
    </row>
    <row r="976" spans="1:15" x14ac:dyDescent="0.2">
      <c r="A976" s="10"/>
      <c r="F976" s="7"/>
      <c r="G976" s="9"/>
      <c r="I976" s="10"/>
      <c r="N976" s="7"/>
      <c r="O976" s="9"/>
    </row>
    <row r="977" spans="1:15" x14ac:dyDescent="0.2">
      <c r="A977" s="10"/>
      <c r="F977" s="7"/>
      <c r="G977" s="9"/>
      <c r="I977" s="10"/>
      <c r="N977" s="7"/>
      <c r="O977" s="9"/>
    </row>
    <row r="978" spans="1:15" x14ac:dyDescent="0.2">
      <c r="A978" s="10"/>
      <c r="F978" s="7"/>
      <c r="G978" s="9"/>
      <c r="I978" s="10"/>
      <c r="N978" s="7"/>
      <c r="O978" s="9"/>
    </row>
    <row r="979" spans="1:15" x14ac:dyDescent="0.2">
      <c r="A979" s="10"/>
      <c r="F979" s="7"/>
      <c r="G979" s="9"/>
      <c r="I979" s="10"/>
      <c r="N979" s="7"/>
      <c r="O979" s="9"/>
    </row>
    <row r="980" spans="1:15" x14ac:dyDescent="0.2">
      <c r="A980" s="10"/>
      <c r="F980" s="7"/>
      <c r="G980" s="9"/>
      <c r="I980" s="10"/>
      <c r="N980" s="7"/>
      <c r="O980" s="9"/>
    </row>
    <row r="981" spans="1:15" x14ac:dyDescent="0.2">
      <c r="A981" s="10"/>
      <c r="F981" s="7"/>
      <c r="G981" s="9"/>
      <c r="I981" s="10"/>
      <c r="N981" s="7"/>
      <c r="O981" s="9"/>
    </row>
    <row r="982" spans="1:15" x14ac:dyDescent="0.2">
      <c r="A982" s="10"/>
      <c r="F982" s="7"/>
      <c r="G982" s="9"/>
      <c r="I982" s="10"/>
      <c r="N982" s="7"/>
      <c r="O982" s="9"/>
    </row>
    <row r="983" spans="1:15" x14ac:dyDescent="0.2">
      <c r="A983" s="10"/>
      <c r="F983" s="7"/>
      <c r="G983" s="9"/>
      <c r="I983" s="10"/>
      <c r="N983" s="7"/>
      <c r="O983" s="9"/>
    </row>
    <row r="984" spans="1:15" x14ac:dyDescent="0.2">
      <c r="A984" s="10"/>
      <c r="F984" s="7"/>
      <c r="G984" s="9"/>
      <c r="I984" s="10"/>
      <c r="N984" s="7"/>
      <c r="O984" s="9"/>
    </row>
    <row r="985" spans="1:15" x14ac:dyDescent="0.2">
      <c r="A985" s="10"/>
      <c r="F985" s="7"/>
      <c r="G985" s="9"/>
      <c r="I985" s="10"/>
      <c r="N985" s="7"/>
      <c r="O985" s="9"/>
    </row>
    <row r="986" spans="1:15" x14ac:dyDescent="0.2">
      <c r="A986" s="10"/>
      <c r="F986" s="7"/>
      <c r="G986" s="9"/>
      <c r="I986" s="10"/>
      <c r="N986" s="7"/>
      <c r="O986" s="9"/>
    </row>
    <row r="987" spans="1:15" x14ac:dyDescent="0.2">
      <c r="A987" s="10"/>
      <c r="F987" s="7"/>
      <c r="G987" s="9"/>
      <c r="I987" s="10"/>
      <c r="N987" s="7"/>
      <c r="O987" s="9"/>
    </row>
    <row r="988" spans="1:15" x14ac:dyDescent="0.2">
      <c r="A988" s="10"/>
      <c r="F988" s="7"/>
      <c r="G988" s="9"/>
      <c r="I988" s="10"/>
      <c r="N988" s="7"/>
      <c r="O988" s="9"/>
    </row>
    <row r="989" spans="1:15" x14ac:dyDescent="0.2">
      <c r="A989" s="10"/>
      <c r="F989" s="7"/>
      <c r="G989" s="9"/>
      <c r="I989" s="10"/>
      <c r="N989" s="7"/>
      <c r="O989" s="9"/>
    </row>
    <row r="990" spans="1:15" x14ac:dyDescent="0.2">
      <c r="A990" s="10"/>
      <c r="F990" s="7"/>
      <c r="G990" s="9"/>
      <c r="I990" s="10"/>
      <c r="N990" s="7"/>
      <c r="O990" s="9"/>
    </row>
    <row r="991" spans="1:15" x14ac:dyDescent="0.2">
      <c r="A991" s="10"/>
      <c r="F991" s="7"/>
      <c r="G991" s="9"/>
      <c r="I991" s="10"/>
      <c r="N991" s="7"/>
      <c r="O991" s="9"/>
    </row>
    <row r="992" spans="1:15" x14ac:dyDescent="0.2">
      <c r="A992" s="10"/>
      <c r="F992" s="7"/>
      <c r="G992" s="9"/>
      <c r="I992" s="10"/>
      <c r="N992" s="7"/>
      <c r="O992" s="9"/>
    </row>
    <row r="993" spans="1:15" x14ac:dyDescent="0.2">
      <c r="A993" s="10"/>
      <c r="F993" s="7"/>
      <c r="G993" s="9"/>
      <c r="I993" s="10"/>
      <c r="N993" s="7"/>
      <c r="O993" s="9"/>
    </row>
    <row r="994" spans="1:15" x14ac:dyDescent="0.2">
      <c r="A994" s="10"/>
      <c r="F994" s="7"/>
      <c r="G994" s="9"/>
      <c r="I994" s="10"/>
      <c r="N994" s="7"/>
      <c r="O994" s="9"/>
    </row>
    <row r="995" spans="1:15" x14ac:dyDescent="0.2">
      <c r="A995" s="10"/>
      <c r="F995" s="7"/>
      <c r="G995" s="9"/>
      <c r="I995" s="10"/>
      <c r="N995" s="7"/>
      <c r="O995" s="9"/>
    </row>
    <row r="996" spans="1:15" x14ac:dyDescent="0.2">
      <c r="A996" s="10"/>
      <c r="F996" s="7"/>
      <c r="G996" s="9"/>
      <c r="I996" s="10"/>
      <c r="N996" s="7"/>
      <c r="O996" s="9"/>
    </row>
    <row r="997" spans="1:15" x14ac:dyDescent="0.2">
      <c r="A997" s="10"/>
      <c r="F997" s="7"/>
      <c r="G997" s="9"/>
      <c r="I997" s="10"/>
      <c r="N997" s="7"/>
      <c r="O997" s="9"/>
    </row>
    <row r="998" spans="1:15" x14ac:dyDescent="0.2">
      <c r="A998" s="10"/>
      <c r="F998" s="7"/>
      <c r="G998" s="9"/>
      <c r="I998" s="10"/>
      <c r="N998" s="7"/>
      <c r="O998" s="9"/>
    </row>
    <row r="999" spans="1:15" x14ac:dyDescent="0.2">
      <c r="A999" s="10"/>
      <c r="F999" s="7"/>
      <c r="G999" s="9"/>
      <c r="I999" s="10"/>
      <c r="N999" s="7"/>
      <c r="O999" s="9"/>
    </row>
    <row r="1000" spans="1:15" x14ac:dyDescent="0.2">
      <c r="A1000" s="10"/>
      <c r="F1000" s="7"/>
      <c r="G1000" s="9"/>
      <c r="I1000" s="10"/>
      <c r="N1000" s="7"/>
      <c r="O1000" s="9"/>
    </row>
  </sheetData>
  <mergeCells count="2">
    <mergeCell ref="A1:G2"/>
    <mergeCell ref="I1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17"/>
  <sheetViews>
    <sheetView tabSelected="1" topLeftCell="A106" workbookViewId="0">
      <selection activeCell="I18" sqref="I18"/>
    </sheetView>
  </sheetViews>
  <sheetFormatPr defaultColWidth="12.5703125" defaultRowHeight="15.75" customHeight="1" x14ac:dyDescent="0.2"/>
  <cols>
    <col min="1" max="1" width="28.42578125" customWidth="1"/>
    <col min="2" max="2" width="37.42578125" customWidth="1"/>
    <col min="3" max="3" width="11" customWidth="1"/>
    <col min="4" max="4" width="49.5703125" customWidth="1"/>
  </cols>
  <sheetData>
    <row r="1" spans="1:5" ht="38.25" customHeight="1" x14ac:dyDescent="0.2">
      <c r="A1" s="14" t="s">
        <v>18</v>
      </c>
      <c r="B1" s="14" t="s">
        <v>29</v>
      </c>
      <c r="C1" s="14" t="s">
        <v>30</v>
      </c>
      <c r="D1" s="15" t="s">
        <v>31</v>
      </c>
      <c r="E1" s="15" t="s">
        <v>9</v>
      </c>
    </row>
    <row r="2" spans="1:5" ht="19.5" customHeight="1" x14ac:dyDescent="0.2">
      <c r="A2" s="143" t="s">
        <v>158</v>
      </c>
      <c r="B2" s="144"/>
      <c r="C2" s="144"/>
      <c r="D2" s="144"/>
      <c r="E2" s="145"/>
    </row>
    <row r="3" spans="1:5" ht="12.75" x14ac:dyDescent="0.2">
      <c r="A3" s="16" t="s">
        <v>60</v>
      </c>
      <c r="B3" s="17" t="s">
        <v>61</v>
      </c>
      <c r="C3" s="17">
        <v>1000</v>
      </c>
      <c r="D3" s="140" t="s">
        <v>62</v>
      </c>
      <c r="E3" s="24"/>
    </row>
    <row r="4" spans="1:5" ht="12.75" x14ac:dyDescent="0.2">
      <c r="A4" s="10"/>
      <c r="B4" s="5" t="s">
        <v>63</v>
      </c>
      <c r="C4" s="5">
        <v>1000</v>
      </c>
      <c r="D4" s="141"/>
      <c r="E4" s="25"/>
    </row>
    <row r="5" spans="1:5" ht="12.75" x14ac:dyDescent="0.2">
      <c r="A5" s="18"/>
      <c r="B5" s="19" t="s">
        <v>55</v>
      </c>
      <c r="C5" s="19">
        <v>500</v>
      </c>
      <c r="D5" s="137"/>
      <c r="E5" s="23">
        <v>2.0499999999999998</v>
      </c>
    </row>
    <row r="6" spans="1:5" ht="12.75" x14ac:dyDescent="0.2">
      <c r="A6" s="16" t="s">
        <v>42</v>
      </c>
      <c r="B6" s="17" t="s">
        <v>64</v>
      </c>
      <c r="C6" s="17">
        <v>600</v>
      </c>
      <c r="D6" s="140" t="s">
        <v>62</v>
      </c>
      <c r="E6" s="24"/>
    </row>
    <row r="7" spans="1:5" ht="12.75" x14ac:dyDescent="0.2">
      <c r="A7" s="10"/>
      <c r="B7" s="5" t="s">
        <v>65</v>
      </c>
      <c r="C7" s="5">
        <v>400</v>
      </c>
      <c r="D7" s="141"/>
      <c r="E7" s="25"/>
    </row>
    <row r="8" spans="1:5" ht="12.75" x14ac:dyDescent="0.2">
      <c r="A8" s="10"/>
      <c r="B8" s="5" t="s">
        <v>63</v>
      </c>
      <c r="C8" s="5">
        <v>500</v>
      </c>
      <c r="D8" s="141"/>
      <c r="E8" s="25"/>
    </row>
    <row r="9" spans="1:5" ht="12.75" x14ac:dyDescent="0.2">
      <c r="A9" s="10"/>
      <c r="B9" s="5" t="s">
        <v>55</v>
      </c>
      <c r="C9" s="5">
        <v>500</v>
      </c>
      <c r="D9" s="141"/>
      <c r="E9" s="25"/>
    </row>
    <row r="10" spans="1:5" ht="12.75" x14ac:dyDescent="0.2">
      <c r="A10" s="18"/>
      <c r="B10" s="19" t="s">
        <v>66</v>
      </c>
      <c r="C10" s="19">
        <v>20</v>
      </c>
      <c r="D10" s="137"/>
      <c r="E10" s="23">
        <v>1.7849999999999999</v>
      </c>
    </row>
    <row r="11" spans="1:5" ht="12.75" x14ac:dyDescent="0.2">
      <c r="A11" s="16" t="s">
        <v>81</v>
      </c>
      <c r="B11" s="17" t="s">
        <v>82</v>
      </c>
      <c r="C11" s="17">
        <v>1400</v>
      </c>
      <c r="D11" s="140" t="s">
        <v>83</v>
      </c>
      <c r="E11" s="2"/>
    </row>
    <row r="12" spans="1:5" ht="12.75" x14ac:dyDescent="0.2">
      <c r="A12" s="10"/>
      <c r="B12" s="5" t="s">
        <v>84</v>
      </c>
      <c r="C12" s="5">
        <v>1000</v>
      </c>
      <c r="D12" s="141"/>
      <c r="E12" s="25"/>
    </row>
    <row r="13" spans="1:5" ht="12.75" x14ac:dyDescent="0.2">
      <c r="A13" s="18"/>
      <c r="B13" s="19" t="s">
        <v>55</v>
      </c>
      <c r="C13" s="19">
        <v>1000</v>
      </c>
      <c r="D13" s="137"/>
      <c r="E13" s="23">
        <v>2.94</v>
      </c>
    </row>
    <row r="14" spans="1:5" ht="12.75" x14ac:dyDescent="0.2">
      <c r="A14" s="16" t="s">
        <v>85</v>
      </c>
      <c r="B14" s="17" t="s">
        <v>84</v>
      </c>
      <c r="C14" s="17">
        <v>1000</v>
      </c>
      <c r="D14" s="140" t="s">
        <v>86</v>
      </c>
      <c r="E14" s="2"/>
    </row>
    <row r="15" spans="1:5" ht="12.75" x14ac:dyDescent="0.2">
      <c r="A15" s="18"/>
      <c r="B15" s="19" t="s">
        <v>55</v>
      </c>
      <c r="C15" s="19">
        <v>1000</v>
      </c>
      <c r="D15" s="137"/>
      <c r="E15" s="23">
        <v>1.5</v>
      </c>
    </row>
    <row r="16" spans="1:5" ht="12.75" x14ac:dyDescent="0.2">
      <c r="A16" s="16" t="s">
        <v>74</v>
      </c>
      <c r="B16" s="17" t="s">
        <v>75</v>
      </c>
      <c r="C16" s="17">
        <v>100</v>
      </c>
      <c r="D16" s="140" t="s">
        <v>76</v>
      </c>
      <c r="E16" s="2"/>
    </row>
    <row r="17" spans="1:5" ht="12.75" x14ac:dyDescent="0.2">
      <c r="A17" s="10"/>
      <c r="B17" s="5" t="s">
        <v>77</v>
      </c>
      <c r="C17" s="5" t="s">
        <v>78</v>
      </c>
      <c r="D17" s="141"/>
      <c r="E17" s="25"/>
    </row>
    <row r="18" spans="1:5" ht="12.75" x14ac:dyDescent="0.2">
      <c r="A18" s="10"/>
      <c r="B18" s="5" t="s">
        <v>79</v>
      </c>
      <c r="C18" s="5">
        <v>66</v>
      </c>
      <c r="D18" s="141"/>
      <c r="E18" s="25"/>
    </row>
    <row r="19" spans="1:5" ht="12.75" x14ac:dyDescent="0.2">
      <c r="A19" s="10"/>
      <c r="B19" s="5" t="s">
        <v>80</v>
      </c>
      <c r="C19" s="5">
        <v>33</v>
      </c>
      <c r="D19" s="141"/>
      <c r="E19" s="9"/>
    </row>
    <row r="20" spans="1:5" ht="12.75" x14ac:dyDescent="0.2">
      <c r="A20" s="18"/>
      <c r="B20" s="19" t="s">
        <v>55</v>
      </c>
      <c r="C20" s="19">
        <v>1666</v>
      </c>
      <c r="D20" s="137"/>
      <c r="E20" s="23">
        <v>1.9</v>
      </c>
    </row>
    <row r="21" spans="1:5" ht="12.75" x14ac:dyDescent="0.2">
      <c r="A21" s="16" t="s">
        <v>19</v>
      </c>
      <c r="B21" s="17" t="s">
        <v>55</v>
      </c>
      <c r="C21" s="17">
        <v>1000</v>
      </c>
      <c r="D21" s="140" t="s">
        <v>87</v>
      </c>
      <c r="E21" s="2"/>
    </row>
    <row r="22" spans="1:5" ht="12.75" x14ac:dyDescent="0.2">
      <c r="A22" s="10"/>
      <c r="B22" s="5" t="s">
        <v>88</v>
      </c>
      <c r="C22" s="5">
        <v>33</v>
      </c>
      <c r="D22" s="141"/>
      <c r="E22" s="25"/>
    </row>
    <row r="23" spans="1:5" ht="12.75" x14ac:dyDescent="0.2">
      <c r="A23" s="10"/>
      <c r="B23" s="5" t="s">
        <v>89</v>
      </c>
      <c r="C23" s="5">
        <v>15</v>
      </c>
      <c r="D23" s="141"/>
      <c r="E23" s="25"/>
    </row>
    <row r="24" spans="1:5" ht="12.75" x14ac:dyDescent="0.2">
      <c r="A24" s="10"/>
      <c r="B24" s="5" t="s">
        <v>90</v>
      </c>
      <c r="C24" s="5">
        <v>7</v>
      </c>
      <c r="D24" s="141"/>
      <c r="E24" s="25"/>
    </row>
    <row r="25" spans="1:5" ht="12.75" x14ac:dyDescent="0.2">
      <c r="A25" s="10"/>
      <c r="B25" s="5" t="s">
        <v>91</v>
      </c>
      <c r="C25" s="5">
        <v>3</v>
      </c>
      <c r="D25" s="141"/>
      <c r="E25" s="25"/>
    </row>
    <row r="26" spans="1:5" ht="12.75" x14ac:dyDescent="0.2">
      <c r="A26" s="18"/>
      <c r="B26" s="19" t="s">
        <v>92</v>
      </c>
      <c r="C26" s="19">
        <v>3</v>
      </c>
      <c r="D26" s="137"/>
      <c r="E26" s="23">
        <v>1</v>
      </c>
    </row>
    <row r="27" spans="1:5" ht="12.75" x14ac:dyDescent="0.2">
      <c r="A27" s="16" t="s">
        <v>93</v>
      </c>
      <c r="B27" s="17" t="s">
        <v>103</v>
      </c>
      <c r="C27" s="17">
        <v>1000</v>
      </c>
      <c r="D27" s="140" t="s">
        <v>99</v>
      </c>
      <c r="E27" s="2"/>
    </row>
    <row r="28" spans="1:5" ht="12.75" x14ac:dyDescent="0.2">
      <c r="A28" s="18"/>
      <c r="B28" s="19" t="s">
        <v>70</v>
      </c>
      <c r="C28" s="19">
        <v>1000</v>
      </c>
      <c r="D28" s="137"/>
      <c r="E28" s="26">
        <v>1.6</v>
      </c>
    </row>
    <row r="29" spans="1:5" ht="25.5" x14ac:dyDescent="0.2">
      <c r="A29" s="12" t="s">
        <v>104</v>
      </c>
      <c r="B29" s="13" t="s">
        <v>105</v>
      </c>
      <c r="C29" s="13">
        <v>2500</v>
      </c>
      <c r="D29" s="27" t="s">
        <v>106</v>
      </c>
      <c r="E29" s="28">
        <v>1.6</v>
      </c>
    </row>
    <row r="30" spans="1:5" ht="12.75" x14ac:dyDescent="0.2">
      <c r="A30" s="16" t="s">
        <v>124</v>
      </c>
      <c r="B30" s="17" t="s">
        <v>118</v>
      </c>
      <c r="C30" s="17">
        <v>1000</v>
      </c>
      <c r="D30" s="140" t="s">
        <v>125</v>
      </c>
      <c r="E30" s="2"/>
    </row>
    <row r="31" spans="1:5" ht="12.75" x14ac:dyDescent="0.2">
      <c r="A31" s="10"/>
      <c r="B31" s="5" t="s">
        <v>120</v>
      </c>
      <c r="C31" s="5">
        <v>1000</v>
      </c>
      <c r="D31" s="141"/>
      <c r="E31" s="9"/>
    </row>
    <row r="32" spans="1:5" ht="12.75" x14ac:dyDescent="0.2">
      <c r="A32" s="10"/>
      <c r="B32" s="5" t="s">
        <v>126</v>
      </c>
      <c r="C32" s="5">
        <v>500</v>
      </c>
      <c r="D32" s="141"/>
      <c r="E32" s="9"/>
    </row>
    <row r="33" spans="1:5" ht="12.75" x14ac:dyDescent="0.2">
      <c r="A33" s="10"/>
      <c r="B33" s="5" t="s">
        <v>127</v>
      </c>
      <c r="C33" s="5">
        <v>2000</v>
      </c>
      <c r="D33" s="141"/>
      <c r="E33" s="9"/>
    </row>
    <row r="34" spans="1:5" ht="12.75" x14ac:dyDescent="0.2">
      <c r="A34" s="18"/>
      <c r="B34" s="19" t="s">
        <v>70</v>
      </c>
      <c r="C34" s="19">
        <v>1000</v>
      </c>
      <c r="D34" s="137"/>
      <c r="E34" s="26" t="s">
        <v>128</v>
      </c>
    </row>
    <row r="35" spans="1:5" ht="12.75" x14ac:dyDescent="0.2">
      <c r="A35" s="143" t="s">
        <v>159</v>
      </c>
      <c r="B35" s="144"/>
      <c r="C35" s="144"/>
      <c r="D35" s="144"/>
      <c r="E35" s="145"/>
    </row>
    <row r="36" spans="1:5" ht="12.75" x14ac:dyDescent="0.2">
      <c r="A36" s="16" t="s">
        <v>28</v>
      </c>
      <c r="B36" s="17" t="s">
        <v>98</v>
      </c>
      <c r="C36" s="17">
        <v>530</v>
      </c>
      <c r="D36" s="140" t="s">
        <v>99</v>
      </c>
      <c r="E36" s="2"/>
    </row>
    <row r="37" spans="1:5" ht="12.75" x14ac:dyDescent="0.2">
      <c r="A37" s="10"/>
      <c r="B37" s="5" t="s">
        <v>100</v>
      </c>
      <c r="C37" s="5">
        <v>140</v>
      </c>
      <c r="D37" s="141"/>
      <c r="E37" s="9"/>
    </row>
    <row r="38" spans="1:5" ht="12.75" x14ac:dyDescent="0.2">
      <c r="A38" s="18"/>
      <c r="B38" s="19" t="s">
        <v>101</v>
      </c>
      <c r="C38" s="19">
        <v>80</v>
      </c>
      <c r="D38" s="137"/>
      <c r="E38" s="26">
        <v>0.75</v>
      </c>
    </row>
    <row r="39" spans="1:5" ht="12.75" x14ac:dyDescent="0.2">
      <c r="A39" s="16" t="s">
        <v>27</v>
      </c>
      <c r="B39" s="17" t="s">
        <v>93</v>
      </c>
      <c r="C39" s="17">
        <v>300</v>
      </c>
      <c r="D39" s="140" t="s">
        <v>99</v>
      </c>
      <c r="E39" s="2"/>
    </row>
    <row r="40" spans="1:5" ht="12.75" x14ac:dyDescent="0.2">
      <c r="A40" s="18"/>
      <c r="B40" s="19" t="s">
        <v>102</v>
      </c>
      <c r="C40" s="19">
        <v>400</v>
      </c>
      <c r="D40" s="137"/>
      <c r="E40" s="26">
        <v>0.7</v>
      </c>
    </row>
    <row r="41" spans="1:5" ht="12.75" x14ac:dyDescent="0.2">
      <c r="A41" s="16" t="s">
        <v>107</v>
      </c>
      <c r="B41" s="17" t="s">
        <v>22</v>
      </c>
      <c r="C41" s="17">
        <v>600</v>
      </c>
      <c r="D41" s="140" t="s">
        <v>99</v>
      </c>
      <c r="E41" s="2"/>
    </row>
    <row r="42" spans="1:5" ht="12.75" x14ac:dyDescent="0.2">
      <c r="A42" s="10"/>
      <c r="B42" s="5" t="s">
        <v>108</v>
      </c>
      <c r="C42" s="5">
        <v>150</v>
      </c>
      <c r="D42" s="141"/>
      <c r="E42" s="9"/>
    </row>
    <row r="43" spans="1:5" ht="12.75" x14ac:dyDescent="0.2">
      <c r="A43" s="18"/>
      <c r="B43" s="19" t="s">
        <v>102</v>
      </c>
      <c r="C43" s="19">
        <v>100</v>
      </c>
      <c r="D43" s="137"/>
      <c r="E43" s="26">
        <v>0.85</v>
      </c>
    </row>
    <row r="44" spans="1:5" ht="12.75" x14ac:dyDescent="0.2">
      <c r="A44" s="16" t="s">
        <v>26</v>
      </c>
      <c r="B44" s="17" t="s">
        <v>20</v>
      </c>
      <c r="C44" s="17">
        <v>600</v>
      </c>
      <c r="D44" s="140" t="s">
        <v>99</v>
      </c>
      <c r="E44" s="2"/>
    </row>
    <row r="45" spans="1:5" ht="12.75" x14ac:dyDescent="0.2">
      <c r="A45" s="18"/>
      <c r="B45" s="19" t="s">
        <v>109</v>
      </c>
      <c r="C45" s="19">
        <v>100</v>
      </c>
      <c r="D45" s="137"/>
      <c r="E45" s="26">
        <v>0.7</v>
      </c>
    </row>
    <row r="46" spans="1:5" ht="12.75" x14ac:dyDescent="0.2">
      <c r="A46" s="16" t="s">
        <v>24</v>
      </c>
      <c r="B46" s="17" t="s">
        <v>110</v>
      </c>
      <c r="C46" s="17">
        <v>600</v>
      </c>
      <c r="D46" s="140" t="s">
        <v>99</v>
      </c>
      <c r="E46" s="2"/>
    </row>
    <row r="47" spans="1:5" ht="12.75" x14ac:dyDescent="0.2">
      <c r="A47" s="18"/>
      <c r="B47" s="19" t="s">
        <v>111</v>
      </c>
      <c r="C47" s="19">
        <v>300</v>
      </c>
      <c r="D47" s="137"/>
      <c r="E47" s="26">
        <v>0.9</v>
      </c>
    </row>
    <row r="48" spans="1:5" ht="12.75" x14ac:dyDescent="0.2">
      <c r="A48" s="16" t="s">
        <v>25</v>
      </c>
      <c r="B48" s="17" t="s">
        <v>21</v>
      </c>
      <c r="C48" s="17">
        <v>600</v>
      </c>
      <c r="D48" s="140" t="s">
        <v>99</v>
      </c>
      <c r="E48" s="2"/>
    </row>
    <row r="49" spans="1:5" ht="12.75" x14ac:dyDescent="0.2">
      <c r="A49" s="18"/>
      <c r="B49" s="19" t="s">
        <v>112</v>
      </c>
      <c r="C49" s="19">
        <v>300</v>
      </c>
      <c r="D49" s="137"/>
      <c r="E49" s="26">
        <v>0.9</v>
      </c>
    </row>
    <row r="50" spans="1:5" ht="12.75" x14ac:dyDescent="0.2">
      <c r="A50" s="16" t="s">
        <v>140</v>
      </c>
      <c r="B50" s="17" t="s">
        <v>141</v>
      </c>
      <c r="C50" s="17" t="s">
        <v>142</v>
      </c>
      <c r="D50" s="140" t="s">
        <v>143</v>
      </c>
      <c r="E50" s="2"/>
    </row>
    <row r="51" spans="1:5" ht="12.75" x14ac:dyDescent="0.2">
      <c r="A51" s="10"/>
      <c r="B51" s="5" t="s">
        <v>103</v>
      </c>
      <c r="C51" s="5">
        <v>400</v>
      </c>
      <c r="D51" s="141"/>
      <c r="E51" s="9"/>
    </row>
    <row r="52" spans="1:5" ht="12.75" x14ac:dyDescent="0.2">
      <c r="A52" s="10"/>
      <c r="B52" s="5" t="s">
        <v>55</v>
      </c>
      <c r="C52" s="5">
        <v>200</v>
      </c>
      <c r="D52" s="141"/>
      <c r="E52" s="9"/>
    </row>
    <row r="53" spans="1:5" ht="12.75" x14ac:dyDescent="0.2">
      <c r="A53" s="10"/>
      <c r="B53" s="5" t="s">
        <v>144</v>
      </c>
      <c r="C53" s="5">
        <v>20</v>
      </c>
      <c r="D53" s="141"/>
      <c r="E53" s="9"/>
    </row>
    <row r="54" spans="1:5" ht="12.75" x14ac:dyDescent="0.2">
      <c r="A54" s="18"/>
      <c r="B54" s="19" t="s">
        <v>19</v>
      </c>
      <c r="C54" s="19">
        <v>100</v>
      </c>
      <c r="D54" s="137"/>
      <c r="E54" s="26">
        <v>0.54</v>
      </c>
    </row>
    <row r="55" spans="1:5" ht="12.75" x14ac:dyDescent="0.2">
      <c r="A55" s="16" t="s">
        <v>145</v>
      </c>
      <c r="B55" s="17" t="s">
        <v>55</v>
      </c>
      <c r="C55" s="17">
        <v>250</v>
      </c>
      <c r="D55" s="140" t="s">
        <v>146</v>
      </c>
      <c r="E55" s="2"/>
    </row>
    <row r="56" spans="1:5" ht="12.75" x14ac:dyDescent="0.2">
      <c r="A56" s="10"/>
      <c r="B56" s="5" t="s">
        <v>63</v>
      </c>
      <c r="C56" s="5">
        <v>500</v>
      </c>
      <c r="D56" s="141"/>
      <c r="E56" s="9"/>
    </row>
    <row r="57" spans="1:5" ht="12.75" x14ac:dyDescent="0.2">
      <c r="A57" s="10"/>
      <c r="B57" s="5" t="s">
        <v>147</v>
      </c>
      <c r="C57" s="5">
        <v>50</v>
      </c>
      <c r="D57" s="141"/>
      <c r="E57" s="9"/>
    </row>
    <row r="58" spans="1:5" ht="12.75" x14ac:dyDescent="0.2">
      <c r="A58" s="10"/>
      <c r="B58" s="5" t="s">
        <v>148</v>
      </c>
      <c r="C58" s="5">
        <v>20</v>
      </c>
      <c r="D58" s="141"/>
      <c r="E58" s="9"/>
    </row>
    <row r="59" spans="1:5" ht="12.75" x14ac:dyDescent="0.2">
      <c r="A59" s="10"/>
      <c r="B59" s="5" t="s">
        <v>149</v>
      </c>
      <c r="C59" s="29" t="s">
        <v>150</v>
      </c>
      <c r="D59" s="141"/>
      <c r="E59" s="9"/>
    </row>
    <row r="60" spans="1:5" ht="12.75" x14ac:dyDescent="0.2">
      <c r="A60" s="10"/>
      <c r="B60" s="5" t="s">
        <v>19</v>
      </c>
      <c r="C60" s="5">
        <v>100</v>
      </c>
      <c r="D60" s="141"/>
      <c r="E60" s="9"/>
    </row>
    <row r="61" spans="1:5" ht="12.75" x14ac:dyDescent="0.2">
      <c r="A61" s="10"/>
      <c r="B61" s="5" t="s">
        <v>151</v>
      </c>
      <c r="C61" s="5">
        <v>10</v>
      </c>
      <c r="D61" s="141"/>
      <c r="E61" s="9"/>
    </row>
    <row r="62" spans="1:5" ht="12.75" x14ac:dyDescent="0.2">
      <c r="A62" s="18"/>
      <c r="B62" s="19" t="s">
        <v>152</v>
      </c>
      <c r="C62" s="19">
        <v>5</v>
      </c>
      <c r="D62" s="137"/>
      <c r="E62" s="26">
        <v>0.65</v>
      </c>
    </row>
    <row r="63" spans="1:5" ht="12.75" x14ac:dyDescent="0.2">
      <c r="A63" s="143" t="s">
        <v>160</v>
      </c>
      <c r="B63" s="144"/>
      <c r="C63" s="144"/>
      <c r="D63" s="144"/>
      <c r="E63" s="145"/>
    </row>
    <row r="64" spans="1:5" ht="12.75" x14ac:dyDescent="0.2">
      <c r="A64" s="16" t="s">
        <v>32</v>
      </c>
      <c r="B64" s="17" t="s">
        <v>33</v>
      </c>
      <c r="C64" s="17">
        <v>200</v>
      </c>
      <c r="D64" s="140" t="s">
        <v>34</v>
      </c>
      <c r="E64" s="2"/>
    </row>
    <row r="65" spans="1:5" ht="12.75" x14ac:dyDescent="0.2">
      <c r="A65" s="10"/>
      <c r="B65" s="5" t="s">
        <v>35</v>
      </c>
      <c r="C65" s="5">
        <v>100</v>
      </c>
      <c r="D65" s="141"/>
      <c r="E65" s="9"/>
    </row>
    <row r="66" spans="1:5" ht="12.75" x14ac:dyDescent="0.2">
      <c r="A66" s="10"/>
      <c r="B66" s="5" t="s">
        <v>36</v>
      </c>
      <c r="C66" s="5">
        <v>300</v>
      </c>
      <c r="D66" s="141"/>
      <c r="E66" s="9"/>
    </row>
    <row r="67" spans="1:5" ht="12.75" x14ac:dyDescent="0.2">
      <c r="A67" s="10"/>
      <c r="B67" s="5" t="s">
        <v>37</v>
      </c>
      <c r="C67" s="5">
        <v>300</v>
      </c>
      <c r="D67" s="141"/>
      <c r="E67" s="9"/>
    </row>
    <row r="68" spans="1:5" ht="12.75" x14ac:dyDescent="0.2">
      <c r="A68" s="10"/>
      <c r="B68" s="5" t="s">
        <v>38</v>
      </c>
      <c r="C68" s="5">
        <v>500</v>
      </c>
      <c r="D68" s="141"/>
      <c r="E68" s="9"/>
    </row>
    <row r="69" spans="1:5" ht="12.75" x14ac:dyDescent="0.2">
      <c r="A69" s="10"/>
      <c r="B69" s="5" t="s">
        <v>39</v>
      </c>
      <c r="C69" s="5">
        <v>4</v>
      </c>
      <c r="D69" s="141"/>
      <c r="E69" s="9"/>
    </row>
    <row r="70" spans="1:5" ht="12.75" x14ac:dyDescent="0.2">
      <c r="A70" s="10"/>
      <c r="B70" s="5" t="s">
        <v>19</v>
      </c>
      <c r="C70" s="5">
        <v>50</v>
      </c>
      <c r="D70" s="141"/>
      <c r="E70" s="9"/>
    </row>
    <row r="71" spans="1:5" ht="12.75" x14ac:dyDescent="0.2">
      <c r="A71" s="18"/>
      <c r="B71" s="19" t="s">
        <v>14</v>
      </c>
      <c r="C71" s="19">
        <v>20</v>
      </c>
      <c r="D71" s="137"/>
      <c r="E71" s="20" t="s">
        <v>40</v>
      </c>
    </row>
    <row r="72" spans="1:5" ht="12.75" x14ac:dyDescent="0.2">
      <c r="A72" s="21" t="s">
        <v>41</v>
      </c>
      <c r="B72" s="5" t="s">
        <v>42</v>
      </c>
      <c r="C72" s="5">
        <v>600</v>
      </c>
      <c r="D72" s="140" t="s">
        <v>43</v>
      </c>
      <c r="E72" s="22"/>
    </row>
    <row r="73" spans="1:5" ht="12.75" x14ac:dyDescent="0.2">
      <c r="A73" s="21"/>
      <c r="B73" s="5" t="s">
        <v>19</v>
      </c>
      <c r="C73" s="5">
        <v>100</v>
      </c>
      <c r="D73" s="141"/>
      <c r="E73" s="22"/>
    </row>
    <row r="74" spans="1:5" ht="12.75" x14ac:dyDescent="0.2">
      <c r="A74" s="21"/>
      <c r="B74" s="5" t="s">
        <v>44</v>
      </c>
      <c r="C74" s="5">
        <v>600</v>
      </c>
      <c r="D74" s="141"/>
      <c r="E74" s="22"/>
    </row>
    <row r="75" spans="1:5" ht="12.75" x14ac:dyDescent="0.2">
      <c r="A75" s="21"/>
      <c r="B75" s="5" t="s">
        <v>45</v>
      </c>
      <c r="C75" s="5">
        <v>15</v>
      </c>
      <c r="D75" s="141"/>
      <c r="E75" s="22"/>
    </row>
    <row r="76" spans="1:5" ht="12.75" x14ac:dyDescent="0.2">
      <c r="A76" s="10"/>
      <c r="B76" s="5" t="s">
        <v>46</v>
      </c>
      <c r="C76" s="5">
        <v>550</v>
      </c>
      <c r="D76" s="137"/>
      <c r="E76" s="31" t="s">
        <v>47</v>
      </c>
    </row>
    <row r="77" spans="1:5" ht="12.75" x14ac:dyDescent="0.2">
      <c r="A77" s="16" t="s">
        <v>94</v>
      </c>
      <c r="B77" s="17" t="s">
        <v>82</v>
      </c>
      <c r="C77" s="17">
        <v>75</v>
      </c>
      <c r="D77" s="140" t="s">
        <v>161</v>
      </c>
      <c r="E77" s="2"/>
    </row>
    <row r="78" spans="1:5" ht="12.75" x14ac:dyDescent="0.2">
      <c r="A78" s="10"/>
      <c r="B78" s="5" t="s">
        <v>95</v>
      </c>
      <c r="C78" s="5">
        <v>80</v>
      </c>
      <c r="D78" s="141"/>
      <c r="E78" s="9"/>
    </row>
    <row r="79" spans="1:5" ht="12.75" x14ac:dyDescent="0.2">
      <c r="A79" s="10"/>
      <c r="B79" s="5" t="s">
        <v>96</v>
      </c>
      <c r="C79" s="5">
        <v>200</v>
      </c>
      <c r="D79" s="141"/>
      <c r="E79" s="9"/>
    </row>
    <row r="80" spans="1:5" ht="12.75" x14ac:dyDescent="0.2">
      <c r="A80" s="18"/>
      <c r="B80" s="19" t="s">
        <v>97</v>
      </c>
      <c r="C80" s="19">
        <v>15</v>
      </c>
      <c r="D80" s="137"/>
      <c r="E80" s="26">
        <v>1</v>
      </c>
    </row>
    <row r="81" spans="1:5" ht="12.75" x14ac:dyDescent="0.2">
      <c r="A81" s="16" t="s">
        <v>113</v>
      </c>
      <c r="B81" s="17" t="s">
        <v>61</v>
      </c>
      <c r="C81" s="17">
        <v>500</v>
      </c>
      <c r="D81" s="140" t="s">
        <v>114</v>
      </c>
      <c r="E81" s="2"/>
    </row>
    <row r="82" spans="1:5" ht="12.75" x14ac:dyDescent="0.2">
      <c r="A82" s="10"/>
      <c r="B82" s="5" t="s">
        <v>115</v>
      </c>
      <c r="C82" s="5">
        <v>250</v>
      </c>
      <c r="D82" s="141"/>
      <c r="E82" s="9"/>
    </row>
    <row r="83" spans="1:5" ht="12.75" x14ac:dyDescent="0.2">
      <c r="A83" s="10"/>
      <c r="B83" s="5" t="s">
        <v>116</v>
      </c>
      <c r="C83" s="5">
        <v>600</v>
      </c>
      <c r="D83" s="141"/>
      <c r="E83" s="9"/>
    </row>
    <row r="84" spans="1:5" ht="12.75" x14ac:dyDescent="0.2">
      <c r="A84" s="10"/>
      <c r="B84" s="5" t="s">
        <v>19</v>
      </c>
      <c r="C84" s="5">
        <v>50</v>
      </c>
      <c r="D84" s="141"/>
      <c r="E84" s="9"/>
    </row>
    <row r="85" spans="1:5" ht="12.75" x14ac:dyDescent="0.2">
      <c r="A85" s="10"/>
      <c r="B85" s="5" t="s">
        <v>15</v>
      </c>
      <c r="C85" s="5">
        <v>125</v>
      </c>
      <c r="D85" s="141"/>
      <c r="E85" s="9"/>
    </row>
    <row r="86" spans="1:5" ht="12.75" x14ac:dyDescent="0.2">
      <c r="A86" s="18"/>
      <c r="B86" s="19" t="s">
        <v>55</v>
      </c>
      <c r="C86" s="19">
        <v>300</v>
      </c>
      <c r="D86" s="137"/>
      <c r="E86" s="26" t="s">
        <v>47</v>
      </c>
    </row>
    <row r="87" spans="1:5" ht="12.75" x14ac:dyDescent="0.2">
      <c r="A87" s="16" t="s">
        <v>117</v>
      </c>
      <c r="B87" s="17" t="s">
        <v>118</v>
      </c>
      <c r="C87" s="17">
        <v>125</v>
      </c>
      <c r="D87" s="140" t="s">
        <v>119</v>
      </c>
      <c r="E87" s="2"/>
    </row>
    <row r="88" spans="1:5" ht="12.75" x14ac:dyDescent="0.2">
      <c r="A88" s="10"/>
      <c r="B88" s="5" t="s">
        <v>120</v>
      </c>
      <c r="C88" s="5">
        <v>125</v>
      </c>
      <c r="D88" s="141"/>
      <c r="E88" s="9"/>
    </row>
    <row r="89" spans="1:5" ht="12.75" x14ac:dyDescent="0.2">
      <c r="A89" s="10"/>
      <c r="B89" s="5" t="s">
        <v>121</v>
      </c>
      <c r="C89" s="5">
        <v>150</v>
      </c>
      <c r="D89" s="141"/>
      <c r="E89" s="9"/>
    </row>
    <row r="90" spans="1:5" ht="12.75" x14ac:dyDescent="0.2">
      <c r="A90" s="18"/>
      <c r="B90" s="19" t="s">
        <v>122</v>
      </c>
      <c r="C90" s="19">
        <v>15</v>
      </c>
      <c r="D90" s="137"/>
      <c r="E90" s="26" t="s">
        <v>123</v>
      </c>
    </row>
    <row r="91" spans="1:5" ht="12.75" x14ac:dyDescent="0.2">
      <c r="A91" s="16" t="s">
        <v>129</v>
      </c>
      <c r="B91" s="17" t="s">
        <v>130</v>
      </c>
      <c r="C91" s="17">
        <v>750</v>
      </c>
      <c r="D91" s="140" t="s">
        <v>131</v>
      </c>
      <c r="E91" s="2"/>
    </row>
    <row r="92" spans="1:5" ht="12.75" x14ac:dyDescent="0.2">
      <c r="A92" s="10"/>
      <c r="B92" s="5" t="s">
        <v>110</v>
      </c>
      <c r="C92" s="5">
        <v>250</v>
      </c>
      <c r="D92" s="141"/>
      <c r="E92" s="9"/>
    </row>
    <row r="93" spans="1:5" ht="12.75" x14ac:dyDescent="0.2">
      <c r="A93" s="10"/>
      <c r="B93" s="5" t="s">
        <v>102</v>
      </c>
      <c r="C93" s="5">
        <v>250</v>
      </c>
      <c r="D93" s="141"/>
      <c r="E93" s="9"/>
    </row>
    <row r="94" spans="1:5" ht="12.75" x14ac:dyDescent="0.2">
      <c r="A94" s="10"/>
      <c r="B94" s="5" t="s">
        <v>55</v>
      </c>
      <c r="C94" s="5">
        <v>250</v>
      </c>
      <c r="D94" s="141"/>
      <c r="E94" s="9"/>
    </row>
    <row r="95" spans="1:5" ht="12.75" x14ac:dyDescent="0.2">
      <c r="A95" s="10"/>
      <c r="B95" s="5" t="s">
        <v>132</v>
      </c>
      <c r="C95" s="5">
        <v>15</v>
      </c>
      <c r="D95" s="141"/>
      <c r="E95" s="9"/>
    </row>
    <row r="96" spans="1:5" ht="12.75" x14ac:dyDescent="0.2">
      <c r="A96" s="18"/>
      <c r="B96" s="19" t="s">
        <v>133</v>
      </c>
      <c r="C96" s="19">
        <v>10</v>
      </c>
      <c r="D96" s="137"/>
      <c r="E96" s="26" t="s">
        <v>40</v>
      </c>
    </row>
    <row r="97" spans="1:5" ht="12.75" x14ac:dyDescent="0.2">
      <c r="A97" s="16" t="s">
        <v>134</v>
      </c>
      <c r="B97" s="17" t="s">
        <v>135</v>
      </c>
      <c r="C97" s="17">
        <v>200</v>
      </c>
      <c r="D97" s="140" t="s">
        <v>136</v>
      </c>
      <c r="E97" s="2"/>
    </row>
    <row r="98" spans="1:5" ht="12.75" x14ac:dyDescent="0.2">
      <c r="A98" s="10"/>
      <c r="B98" s="5" t="s">
        <v>137</v>
      </c>
      <c r="C98" s="5">
        <v>20</v>
      </c>
      <c r="D98" s="141"/>
      <c r="E98" s="9"/>
    </row>
    <row r="99" spans="1:5" ht="12.75" x14ac:dyDescent="0.2">
      <c r="A99" s="10"/>
      <c r="B99" s="5" t="s">
        <v>138</v>
      </c>
      <c r="C99" s="5">
        <v>15</v>
      </c>
      <c r="D99" s="141"/>
      <c r="E99" s="9"/>
    </row>
    <row r="100" spans="1:5" ht="12.75" x14ac:dyDescent="0.2">
      <c r="A100" s="10"/>
      <c r="B100" s="5" t="s">
        <v>139</v>
      </c>
      <c r="C100" s="5">
        <v>18</v>
      </c>
      <c r="D100" s="141"/>
      <c r="E100" s="9"/>
    </row>
    <row r="101" spans="1:5" ht="12.75" x14ac:dyDescent="0.2">
      <c r="A101" s="18"/>
      <c r="B101" s="19" t="s">
        <v>37</v>
      </c>
      <c r="C101" s="19">
        <v>150</v>
      </c>
      <c r="D101" s="137"/>
      <c r="E101" s="26" t="s">
        <v>123</v>
      </c>
    </row>
    <row r="102" spans="1:5" ht="21.75" customHeight="1" x14ac:dyDescent="0.2">
      <c r="A102" s="143" t="s">
        <v>162</v>
      </c>
      <c r="B102" s="144"/>
      <c r="C102" s="144"/>
      <c r="D102" s="144"/>
      <c r="E102" s="145"/>
    </row>
    <row r="103" spans="1:5" ht="12.75" x14ac:dyDescent="0.2">
      <c r="A103" s="16" t="s">
        <v>52</v>
      </c>
      <c r="B103" s="17" t="s">
        <v>53</v>
      </c>
      <c r="C103" s="17">
        <v>30</v>
      </c>
      <c r="D103" s="140" t="s">
        <v>54</v>
      </c>
      <c r="E103" s="24"/>
    </row>
    <row r="104" spans="1:5" ht="24" customHeight="1" x14ac:dyDescent="0.2">
      <c r="A104" s="18"/>
      <c r="B104" s="19" t="s">
        <v>55</v>
      </c>
      <c r="C104" s="19">
        <v>400</v>
      </c>
      <c r="D104" s="137"/>
      <c r="E104" s="23">
        <v>0.43</v>
      </c>
    </row>
    <row r="105" spans="1:5" ht="12.75" x14ac:dyDescent="0.2">
      <c r="A105" s="16" t="s">
        <v>23</v>
      </c>
      <c r="B105" s="17" t="s">
        <v>56</v>
      </c>
      <c r="C105" s="17">
        <v>600</v>
      </c>
      <c r="D105" s="140" t="s">
        <v>57</v>
      </c>
      <c r="E105" s="24"/>
    </row>
    <row r="106" spans="1:5" ht="12.75" x14ac:dyDescent="0.2">
      <c r="A106" s="10"/>
      <c r="B106" s="5" t="s">
        <v>58</v>
      </c>
      <c r="C106" s="5">
        <v>80</v>
      </c>
      <c r="D106" s="141"/>
      <c r="E106" s="25"/>
    </row>
    <row r="107" spans="1:5" ht="12.75" x14ac:dyDescent="0.2">
      <c r="A107" s="18"/>
      <c r="B107" s="19" t="s">
        <v>59</v>
      </c>
      <c r="C107" s="19">
        <v>1000</v>
      </c>
      <c r="D107" s="137"/>
      <c r="E107" s="23">
        <v>1.645</v>
      </c>
    </row>
    <row r="108" spans="1:5" ht="12.75" x14ac:dyDescent="0.2">
      <c r="A108" s="16" t="s">
        <v>67</v>
      </c>
      <c r="B108" s="17" t="s">
        <v>68</v>
      </c>
      <c r="C108" s="17">
        <v>15</v>
      </c>
      <c r="D108" s="140" t="s">
        <v>69</v>
      </c>
      <c r="E108" s="24"/>
    </row>
    <row r="109" spans="1:5" ht="12.75" x14ac:dyDescent="0.2">
      <c r="A109" s="18"/>
      <c r="B109" s="19" t="s">
        <v>70</v>
      </c>
      <c r="C109" s="19">
        <v>1000</v>
      </c>
      <c r="D109" s="137"/>
      <c r="E109" s="23">
        <v>0.9</v>
      </c>
    </row>
    <row r="110" spans="1:5" ht="12.75" x14ac:dyDescent="0.2">
      <c r="A110" s="16" t="s">
        <v>71</v>
      </c>
      <c r="B110" s="17" t="s">
        <v>72</v>
      </c>
      <c r="C110" s="17">
        <v>15</v>
      </c>
      <c r="D110" s="140" t="s">
        <v>73</v>
      </c>
      <c r="E110" s="24"/>
    </row>
    <row r="111" spans="1:5" ht="12.75" x14ac:dyDescent="0.2">
      <c r="A111" s="18"/>
      <c r="B111" s="19" t="s">
        <v>55</v>
      </c>
      <c r="C111" s="19">
        <v>1000</v>
      </c>
      <c r="D111" s="137"/>
      <c r="E111" s="23">
        <v>0.9</v>
      </c>
    </row>
    <row r="112" spans="1:5" ht="12.75" x14ac:dyDescent="0.2">
      <c r="A112" s="16" t="s">
        <v>153</v>
      </c>
      <c r="B112" s="17" t="s">
        <v>154</v>
      </c>
      <c r="C112" s="17">
        <v>10</v>
      </c>
      <c r="D112" s="140" t="s">
        <v>155</v>
      </c>
      <c r="E112" s="30"/>
    </row>
    <row r="113" spans="1:5" ht="12.75" x14ac:dyDescent="0.2">
      <c r="A113" s="18"/>
      <c r="B113" s="19" t="s">
        <v>55</v>
      </c>
      <c r="C113" s="19">
        <v>1000</v>
      </c>
      <c r="D113" s="137"/>
      <c r="E113" s="26">
        <v>0.9</v>
      </c>
    </row>
    <row r="114" spans="1:5" ht="12.75" x14ac:dyDescent="0.2">
      <c r="A114" s="16" t="s">
        <v>156</v>
      </c>
      <c r="B114" s="17" t="s">
        <v>58</v>
      </c>
      <c r="C114" s="17">
        <v>20</v>
      </c>
      <c r="D114" s="140" t="s">
        <v>157</v>
      </c>
      <c r="E114" s="2"/>
    </row>
    <row r="115" spans="1:5" ht="12.75" x14ac:dyDescent="0.2">
      <c r="A115" s="18"/>
      <c r="B115" s="19" t="s">
        <v>55</v>
      </c>
      <c r="C115" s="19">
        <v>100</v>
      </c>
      <c r="D115" s="137"/>
      <c r="E115" s="26">
        <v>0.1</v>
      </c>
    </row>
    <row r="116" spans="1:5" ht="12.75" x14ac:dyDescent="0.2">
      <c r="A116" s="16" t="s">
        <v>48</v>
      </c>
      <c r="B116" s="17" t="s">
        <v>49</v>
      </c>
      <c r="C116" s="17">
        <v>250</v>
      </c>
      <c r="D116" s="142" t="s">
        <v>50</v>
      </c>
      <c r="E116" s="2"/>
    </row>
    <row r="117" spans="1:5" ht="12.75" x14ac:dyDescent="0.2">
      <c r="A117" s="18"/>
      <c r="B117" s="19" t="s">
        <v>51</v>
      </c>
      <c r="C117" s="19">
        <v>7.5</v>
      </c>
      <c r="D117" s="137"/>
      <c r="E117" s="23">
        <v>0.25700000000000001</v>
      </c>
    </row>
  </sheetData>
  <mergeCells count="34">
    <mergeCell ref="D114:D115"/>
    <mergeCell ref="D116:D117"/>
    <mergeCell ref="D77:D80"/>
    <mergeCell ref="D81:D86"/>
    <mergeCell ref="D87:D90"/>
    <mergeCell ref="D91:D96"/>
    <mergeCell ref="D97:D101"/>
    <mergeCell ref="A102:E102"/>
    <mergeCell ref="D103:D104"/>
    <mergeCell ref="D72:D76"/>
    <mergeCell ref="D105:D107"/>
    <mergeCell ref="D108:D109"/>
    <mergeCell ref="D110:D111"/>
    <mergeCell ref="D112:D113"/>
    <mergeCell ref="D48:D49"/>
    <mergeCell ref="D50:D54"/>
    <mergeCell ref="D55:D62"/>
    <mergeCell ref="A63:E63"/>
    <mergeCell ref="D64:D71"/>
    <mergeCell ref="D36:D38"/>
    <mergeCell ref="D39:D40"/>
    <mergeCell ref="D41:D43"/>
    <mergeCell ref="D44:D45"/>
    <mergeCell ref="D46:D47"/>
    <mergeCell ref="D16:D20"/>
    <mergeCell ref="D21:D26"/>
    <mergeCell ref="D27:D28"/>
    <mergeCell ref="D30:D34"/>
    <mergeCell ref="A35:E35"/>
    <mergeCell ref="A2:E2"/>
    <mergeCell ref="D3:D5"/>
    <mergeCell ref="D6:D10"/>
    <mergeCell ref="D11:D13"/>
    <mergeCell ref="D14:D15"/>
  </mergeCells>
  <printOptions horizontalCentered="1" gridLines="1"/>
  <pageMargins left="3.937007874015748E-2" right="3.937007874015748E-2" top="0.39370078740157477" bottom="0.39370078740157477" header="0" footer="0"/>
  <pageSetup paperSize="9" pageOrder="overThenDown" orientation="landscape" cellComments="atEnd"/>
  <rowBreaks count="4" manualBreakCount="4">
    <brk man="1"/>
    <brk id="34" man="1"/>
    <brk id="101" man="1"/>
    <brk id="6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AI29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 x14ac:dyDescent="0.2"/>
  <cols>
    <col min="1" max="1" width="25.28515625" customWidth="1"/>
    <col min="34" max="35" width="13.42578125" customWidth="1"/>
  </cols>
  <sheetData>
    <row r="1" spans="1:35" ht="24" x14ac:dyDescent="0.35">
      <c r="A1" s="33" t="s">
        <v>170</v>
      </c>
      <c r="B1" s="34">
        <v>45748</v>
      </c>
      <c r="C1" s="34">
        <v>45749</v>
      </c>
      <c r="D1" s="34">
        <v>45750</v>
      </c>
      <c r="E1" s="34">
        <v>45751</v>
      </c>
      <c r="F1" s="34">
        <v>45752</v>
      </c>
      <c r="G1" s="34">
        <v>45753</v>
      </c>
      <c r="H1" s="34">
        <v>45754</v>
      </c>
      <c r="I1" s="34">
        <v>45755</v>
      </c>
      <c r="J1" s="34">
        <v>45756</v>
      </c>
      <c r="K1" s="34">
        <v>45757</v>
      </c>
      <c r="L1" s="34">
        <v>45758</v>
      </c>
      <c r="M1" s="34">
        <v>45759</v>
      </c>
      <c r="N1" s="34">
        <v>45760</v>
      </c>
      <c r="O1" s="34">
        <v>45761</v>
      </c>
      <c r="P1" s="35">
        <v>45762</v>
      </c>
      <c r="Q1" s="34">
        <v>45763</v>
      </c>
      <c r="R1" s="34">
        <v>45764</v>
      </c>
      <c r="S1" s="34">
        <v>45765</v>
      </c>
      <c r="T1" s="34">
        <v>45766</v>
      </c>
      <c r="U1" s="34">
        <v>45767</v>
      </c>
      <c r="V1" s="34">
        <v>45768</v>
      </c>
      <c r="W1" s="34">
        <v>45769</v>
      </c>
      <c r="X1" s="34">
        <v>45770</v>
      </c>
      <c r="Y1" s="34">
        <v>45771</v>
      </c>
      <c r="Z1" s="34">
        <v>45772</v>
      </c>
      <c r="AA1" s="34">
        <v>45773</v>
      </c>
      <c r="AB1" s="34">
        <v>45774</v>
      </c>
      <c r="AC1" s="34">
        <v>45775</v>
      </c>
      <c r="AD1" s="34">
        <v>45776</v>
      </c>
      <c r="AE1" s="34">
        <v>45777</v>
      </c>
      <c r="AF1" s="36" t="s">
        <v>171</v>
      </c>
      <c r="AG1" s="36" t="s">
        <v>172</v>
      </c>
      <c r="AH1" s="36" t="s">
        <v>173</v>
      </c>
      <c r="AI1" s="37"/>
    </row>
    <row r="2" spans="1:35" ht="23.25" customHeight="1" x14ac:dyDescent="0.35">
      <c r="A2" s="38" t="s">
        <v>174</v>
      </c>
      <c r="B2" s="39" t="s">
        <v>165</v>
      </c>
      <c r="C2" s="39" t="s">
        <v>166</v>
      </c>
      <c r="D2" s="39" t="s">
        <v>167</v>
      </c>
      <c r="E2" s="39" t="s">
        <v>168</v>
      </c>
      <c r="F2" s="39" t="s">
        <v>169</v>
      </c>
      <c r="G2" s="39" t="s">
        <v>163</v>
      </c>
      <c r="H2" s="39" t="s">
        <v>164</v>
      </c>
      <c r="I2" s="39" t="s">
        <v>165</v>
      </c>
      <c r="J2" s="39" t="s">
        <v>166</v>
      </c>
      <c r="K2" s="39" t="s">
        <v>167</v>
      </c>
      <c r="L2" s="39" t="s">
        <v>168</v>
      </c>
      <c r="M2" s="39" t="s">
        <v>169</v>
      </c>
      <c r="N2" s="39" t="s">
        <v>163</v>
      </c>
      <c r="O2" s="39" t="s">
        <v>164</v>
      </c>
      <c r="P2" s="40" t="s">
        <v>165</v>
      </c>
      <c r="Q2" s="39" t="s">
        <v>166</v>
      </c>
      <c r="R2" s="39" t="s">
        <v>167</v>
      </c>
      <c r="S2" s="39" t="s">
        <v>168</v>
      </c>
      <c r="T2" s="39" t="s">
        <v>169</v>
      </c>
      <c r="U2" s="39" t="s">
        <v>163</v>
      </c>
      <c r="V2" s="39" t="s">
        <v>164</v>
      </c>
      <c r="W2" s="39" t="s">
        <v>165</v>
      </c>
      <c r="X2" s="39" t="s">
        <v>166</v>
      </c>
      <c r="Y2" s="39" t="s">
        <v>167</v>
      </c>
      <c r="Z2" s="39" t="s">
        <v>168</v>
      </c>
      <c r="AA2" s="39" t="s">
        <v>169</v>
      </c>
      <c r="AB2" s="39" t="s">
        <v>163</v>
      </c>
      <c r="AC2" s="39" t="s">
        <v>164</v>
      </c>
      <c r="AD2" s="39" t="s">
        <v>165</v>
      </c>
      <c r="AE2" s="39" t="s">
        <v>166</v>
      </c>
      <c r="AF2" s="41"/>
      <c r="AG2" s="42"/>
      <c r="AH2" s="42"/>
      <c r="AI2" s="43"/>
    </row>
    <row r="3" spans="1:35" ht="30.75" customHeight="1" x14ac:dyDescent="0.25">
      <c r="A3" s="44" t="s">
        <v>10</v>
      </c>
      <c r="B3" s="45"/>
      <c r="C3" s="45"/>
      <c r="D3" s="45"/>
      <c r="E3" s="45"/>
      <c r="F3" s="46" t="s">
        <v>175</v>
      </c>
      <c r="G3" s="47" t="s">
        <v>176</v>
      </c>
      <c r="H3" s="47" t="s">
        <v>176</v>
      </c>
      <c r="I3" s="47" t="s">
        <v>176</v>
      </c>
      <c r="J3" s="47" t="s">
        <v>176</v>
      </c>
      <c r="K3" s="47" t="s">
        <v>176</v>
      </c>
      <c r="L3" s="48"/>
      <c r="M3" s="48"/>
      <c r="N3" s="47" t="s">
        <v>176</v>
      </c>
      <c r="O3" s="47" t="s">
        <v>176</v>
      </c>
      <c r="P3" s="49" t="s">
        <v>176</v>
      </c>
      <c r="Q3" s="50"/>
      <c r="R3" s="48"/>
      <c r="S3" s="47" t="s">
        <v>176</v>
      </c>
      <c r="T3" s="47" t="s">
        <v>176</v>
      </c>
      <c r="U3" s="48"/>
      <c r="V3" s="48"/>
      <c r="W3" s="47" t="s">
        <v>176</v>
      </c>
      <c r="X3" s="47" t="s">
        <v>176</v>
      </c>
      <c r="Y3" s="47" t="s">
        <v>176</v>
      </c>
      <c r="Z3" s="48"/>
      <c r="AA3" s="46" t="s">
        <v>175</v>
      </c>
      <c r="AB3" s="47" t="s">
        <v>176</v>
      </c>
      <c r="AC3" s="47" t="s">
        <v>176</v>
      </c>
      <c r="AD3" s="47" t="s">
        <v>176</v>
      </c>
      <c r="AE3" s="47" t="s">
        <v>176</v>
      </c>
      <c r="AF3" s="51"/>
      <c r="AG3" s="51"/>
      <c r="AH3" s="51"/>
      <c r="AI3" s="52"/>
    </row>
    <row r="4" spans="1:35" ht="12.75" customHeight="1" x14ac:dyDescent="0.25">
      <c r="A4" s="53"/>
      <c r="B4" s="54"/>
      <c r="C4" s="54"/>
      <c r="D4" s="54"/>
      <c r="E4" s="54"/>
      <c r="F4" s="55">
        <v>6</v>
      </c>
      <c r="G4" s="56">
        <v>9</v>
      </c>
      <c r="H4" s="56">
        <v>9</v>
      </c>
      <c r="I4" s="56">
        <v>9</v>
      </c>
      <c r="J4" s="56">
        <v>9</v>
      </c>
      <c r="K4" s="56">
        <v>9</v>
      </c>
      <c r="L4" s="57"/>
      <c r="M4" s="57"/>
      <c r="N4" s="56">
        <v>8</v>
      </c>
      <c r="O4" s="56">
        <v>8</v>
      </c>
      <c r="P4" s="58">
        <v>8</v>
      </c>
      <c r="Q4" s="59"/>
      <c r="R4" s="57"/>
      <c r="S4" s="56">
        <v>8</v>
      </c>
      <c r="T4" s="56">
        <v>8</v>
      </c>
      <c r="U4" s="57"/>
      <c r="V4" s="57"/>
      <c r="W4" s="56">
        <v>8</v>
      </c>
      <c r="X4" s="56">
        <v>8</v>
      </c>
      <c r="Y4" s="56">
        <v>8</v>
      </c>
      <c r="Z4" s="57"/>
      <c r="AA4" s="55">
        <v>6</v>
      </c>
      <c r="AB4" s="56">
        <v>8</v>
      </c>
      <c r="AC4" s="56">
        <v>8</v>
      </c>
      <c r="AD4" s="56">
        <v>8</v>
      </c>
      <c r="AE4" s="56">
        <v>8</v>
      </c>
      <c r="AF4" s="60">
        <f>SUM(B4:AE4) + AF16</f>
        <v>169</v>
      </c>
      <c r="AG4" s="61">
        <v>0</v>
      </c>
      <c r="AH4" s="60">
        <f>PRODUCT(AF4,AG4)</f>
        <v>0</v>
      </c>
      <c r="AI4" s="62"/>
    </row>
    <row r="5" spans="1:35" ht="33" customHeight="1" x14ac:dyDescent="0.35">
      <c r="A5" s="63" t="s">
        <v>13</v>
      </c>
      <c r="B5" s="48"/>
      <c r="C5" s="48"/>
      <c r="D5" s="64" t="s">
        <v>177</v>
      </c>
      <c r="E5" s="64" t="s">
        <v>177</v>
      </c>
      <c r="F5" s="47" t="s">
        <v>176</v>
      </c>
      <c r="G5" s="46" t="s">
        <v>175</v>
      </c>
      <c r="H5" s="46" t="s">
        <v>175</v>
      </c>
      <c r="I5" s="48"/>
      <c r="J5" s="48"/>
      <c r="K5" s="46" t="s">
        <v>175</v>
      </c>
      <c r="L5" s="64" t="s">
        <v>177</v>
      </c>
      <c r="M5" s="64" t="s">
        <v>177</v>
      </c>
      <c r="N5" s="48"/>
      <c r="O5" s="46" t="s">
        <v>175</v>
      </c>
      <c r="P5" s="65" t="s">
        <v>175</v>
      </c>
      <c r="Q5" s="48"/>
      <c r="R5" s="64" t="s">
        <v>177</v>
      </c>
      <c r="S5" s="64" t="s">
        <v>177</v>
      </c>
      <c r="T5" s="64" t="s">
        <v>177</v>
      </c>
      <c r="U5" s="48"/>
      <c r="V5" s="48"/>
      <c r="W5" s="46" t="s">
        <v>175</v>
      </c>
      <c r="X5" s="46" t="s">
        <v>175</v>
      </c>
      <c r="Y5" s="48"/>
      <c r="Z5" s="64" t="s">
        <v>177</v>
      </c>
      <c r="AA5" s="47" t="s">
        <v>176</v>
      </c>
      <c r="AB5" s="46" t="s">
        <v>175</v>
      </c>
      <c r="AC5" s="48"/>
      <c r="AD5" s="48"/>
      <c r="AE5" s="46" t="s">
        <v>175</v>
      </c>
      <c r="AF5" s="66"/>
      <c r="AG5" s="66"/>
      <c r="AH5" s="66"/>
      <c r="AI5" s="67"/>
    </row>
    <row r="6" spans="1:35" ht="13.5" customHeight="1" x14ac:dyDescent="0.25">
      <c r="A6" s="53"/>
      <c r="B6" s="57"/>
      <c r="C6" s="57"/>
      <c r="D6" s="68">
        <v>14</v>
      </c>
      <c r="E6" s="68">
        <v>13</v>
      </c>
      <c r="F6" s="56">
        <v>9</v>
      </c>
      <c r="G6" s="55">
        <v>6</v>
      </c>
      <c r="H6" s="55">
        <v>6</v>
      </c>
      <c r="I6" s="57"/>
      <c r="J6" s="57"/>
      <c r="K6" s="55">
        <v>6</v>
      </c>
      <c r="L6" s="68">
        <v>13</v>
      </c>
      <c r="M6" s="68">
        <v>13</v>
      </c>
      <c r="N6" s="57"/>
      <c r="O6" s="55">
        <v>6</v>
      </c>
      <c r="P6" s="69">
        <v>6</v>
      </c>
      <c r="Q6" s="57"/>
      <c r="R6" s="68">
        <v>14</v>
      </c>
      <c r="S6" s="68">
        <v>13</v>
      </c>
      <c r="T6" s="68">
        <v>13</v>
      </c>
      <c r="U6" s="57"/>
      <c r="V6" s="57"/>
      <c r="W6" s="55">
        <v>6</v>
      </c>
      <c r="X6" s="55">
        <v>6</v>
      </c>
      <c r="Y6" s="57"/>
      <c r="Z6" s="68">
        <v>13</v>
      </c>
      <c r="AA6" s="56">
        <v>8</v>
      </c>
      <c r="AB6" s="55">
        <v>6</v>
      </c>
      <c r="AC6" s="57"/>
      <c r="AD6" s="57"/>
      <c r="AE6" s="55">
        <v>6</v>
      </c>
      <c r="AF6" s="60">
        <f>SUM(B6:AE6) + AF16</f>
        <v>193</v>
      </c>
      <c r="AG6" s="61">
        <v>300</v>
      </c>
      <c r="AH6" s="60">
        <f>PRODUCT(AF6,AG6)</f>
        <v>57900</v>
      </c>
      <c r="AI6" s="62"/>
    </row>
    <row r="7" spans="1:35" ht="32.25" customHeight="1" x14ac:dyDescent="0.35">
      <c r="A7" s="63" t="s">
        <v>178</v>
      </c>
      <c r="B7" s="64" t="s">
        <v>177</v>
      </c>
      <c r="C7" s="48"/>
      <c r="D7" s="48"/>
      <c r="E7" s="47" t="s">
        <v>176</v>
      </c>
      <c r="F7" s="64" t="s">
        <v>177</v>
      </c>
      <c r="G7" s="45"/>
      <c r="H7" s="48"/>
      <c r="I7" s="64" t="s">
        <v>177</v>
      </c>
      <c r="J7" s="64" t="s">
        <v>177</v>
      </c>
      <c r="K7" s="48"/>
      <c r="L7" s="48"/>
      <c r="M7" s="47" t="s">
        <v>176</v>
      </c>
      <c r="N7" s="64" t="s">
        <v>177</v>
      </c>
      <c r="O7" s="45"/>
      <c r="P7" s="70"/>
      <c r="Q7" s="64" t="s">
        <v>177</v>
      </c>
      <c r="R7" s="71"/>
      <c r="S7" s="48"/>
      <c r="T7" s="45"/>
      <c r="U7" s="64" t="s">
        <v>177</v>
      </c>
      <c r="V7" s="64" t="s">
        <v>177</v>
      </c>
      <c r="W7" s="45"/>
      <c r="X7" s="48"/>
      <c r="Y7" s="64" t="s">
        <v>177</v>
      </c>
      <c r="Z7" s="47" t="s">
        <v>176</v>
      </c>
      <c r="AA7" s="45"/>
      <c r="AB7" s="45"/>
      <c r="AC7" s="64" t="s">
        <v>177</v>
      </c>
      <c r="AD7" s="64" t="s">
        <v>177</v>
      </c>
      <c r="AE7" s="45"/>
      <c r="AF7" s="66"/>
      <c r="AG7" s="66"/>
      <c r="AH7" s="66"/>
      <c r="AI7" s="72" t="s">
        <v>179</v>
      </c>
    </row>
    <row r="8" spans="1:35" ht="12" customHeight="1" x14ac:dyDescent="0.25">
      <c r="A8" s="53"/>
      <c r="B8" s="68">
        <v>14</v>
      </c>
      <c r="C8" s="57"/>
      <c r="D8" s="57"/>
      <c r="E8" s="56">
        <v>9</v>
      </c>
      <c r="F8" s="68">
        <v>13</v>
      </c>
      <c r="G8" s="54"/>
      <c r="H8" s="57"/>
      <c r="I8" s="68">
        <v>14</v>
      </c>
      <c r="J8" s="68">
        <v>14</v>
      </c>
      <c r="K8" s="57"/>
      <c r="L8" s="57"/>
      <c r="M8" s="56">
        <v>8</v>
      </c>
      <c r="N8" s="68">
        <v>14</v>
      </c>
      <c r="O8" s="54"/>
      <c r="P8" s="73"/>
      <c r="Q8" s="68">
        <v>14</v>
      </c>
      <c r="R8" s="74"/>
      <c r="S8" s="57"/>
      <c r="T8" s="54"/>
      <c r="U8" s="68">
        <v>14</v>
      </c>
      <c r="V8" s="68">
        <v>14</v>
      </c>
      <c r="W8" s="54"/>
      <c r="X8" s="57"/>
      <c r="Y8" s="68">
        <v>14</v>
      </c>
      <c r="Z8" s="56">
        <v>8</v>
      </c>
      <c r="AA8" s="54"/>
      <c r="AB8" s="54"/>
      <c r="AC8" s="68">
        <v>14</v>
      </c>
      <c r="AD8" s="68">
        <v>14</v>
      </c>
      <c r="AE8" s="54"/>
      <c r="AF8" s="60">
        <f>SUM(B8:AE8) + AF16</f>
        <v>194</v>
      </c>
      <c r="AG8" s="61">
        <v>150</v>
      </c>
      <c r="AH8" s="60">
        <f>PRODUCT(AF8,AG8)</f>
        <v>29100</v>
      </c>
      <c r="AI8" s="62">
        <f>SUM(AF4,AF6,AF8,AF10,AF12,AF14)</f>
        <v>771</v>
      </c>
    </row>
    <row r="9" spans="1:35" ht="32.25" customHeight="1" x14ac:dyDescent="0.35">
      <c r="A9" s="63" t="s">
        <v>180</v>
      </c>
      <c r="B9" s="75"/>
      <c r="C9" s="45"/>
      <c r="D9" s="45"/>
      <c r="E9" s="46" t="s">
        <v>175</v>
      </c>
      <c r="F9" s="45"/>
      <c r="G9" s="45"/>
      <c r="H9" s="48"/>
      <c r="I9" s="46" t="s">
        <v>175</v>
      </c>
      <c r="J9" s="46" t="s">
        <v>175</v>
      </c>
      <c r="K9" s="48"/>
      <c r="L9" s="64" t="s">
        <v>177</v>
      </c>
      <c r="M9" s="76"/>
      <c r="N9" s="46" t="s">
        <v>175</v>
      </c>
      <c r="O9" s="45"/>
      <c r="P9" s="64" t="s">
        <v>177</v>
      </c>
      <c r="Q9" s="48"/>
      <c r="R9" s="64" t="s">
        <v>177</v>
      </c>
      <c r="S9" s="71"/>
      <c r="T9" s="71"/>
      <c r="U9" s="45"/>
      <c r="V9" s="47" t="s">
        <v>176</v>
      </c>
      <c r="W9" s="46" t="s">
        <v>175</v>
      </c>
      <c r="X9" s="46" t="s">
        <v>175</v>
      </c>
      <c r="Y9" s="77"/>
      <c r="Z9" s="78"/>
      <c r="AA9" s="71"/>
      <c r="AB9" s="46" t="s">
        <v>175</v>
      </c>
      <c r="AC9" s="46" t="s">
        <v>175</v>
      </c>
      <c r="AD9" s="46" t="s">
        <v>175</v>
      </c>
      <c r="AE9" s="79"/>
      <c r="AF9" s="80"/>
      <c r="AG9" s="80"/>
      <c r="AH9" s="80"/>
      <c r="AI9" s="81"/>
    </row>
    <row r="10" spans="1:35" ht="12.75" customHeight="1" x14ac:dyDescent="0.25">
      <c r="A10" s="82"/>
      <c r="B10" s="75"/>
      <c r="C10" s="54"/>
      <c r="D10" s="54"/>
      <c r="E10" s="55">
        <v>6</v>
      </c>
      <c r="F10" s="54"/>
      <c r="G10" s="54"/>
      <c r="H10" s="57"/>
      <c r="I10" s="55">
        <v>6</v>
      </c>
      <c r="J10" s="55">
        <v>6</v>
      </c>
      <c r="K10" s="57"/>
      <c r="L10" s="68">
        <v>13</v>
      </c>
      <c r="M10" s="76"/>
      <c r="N10" s="55">
        <v>6</v>
      </c>
      <c r="O10" s="54"/>
      <c r="P10" s="68">
        <v>14</v>
      </c>
      <c r="Q10" s="83"/>
      <c r="R10" s="84">
        <v>14</v>
      </c>
      <c r="S10" s="74"/>
      <c r="T10" s="74"/>
      <c r="U10" s="54"/>
      <c r="V10" s="56">
        <v>8</v>
      </c>
      <c r="W10" s="55">
        <v>6</v>
      </c>
      <c r="X10" s="55">
        <v>6</v>
      </c>
      <c r="Y10" s="85"/>
      <c r="Z10" s="78"/>
      <c r="AA10" s="74"/>
      <c r="AB10" s="55">
        <v>6</v>
      </c>
      <c r="AC10" s="55">
        <v>6</v>
      </c>
      <c r="AD10" s="55">
        <v>6</v>
      </c>
      <c r="AE10" s="86"/>
      <c r="AF10" s="60">
        <f>SUM(B10:AE10) + AF16</f>
        <v>119</v>
      </c>
      <c r="AG10" s="61">
        <v>150</v>
      </c>
      <c r="AH10" s="60">
        <f>PRODUCT(AF10,AG10)</f>
        <v>17850</v>
      </c>
      <c r="AI10" s="81"/>
    </row>
    <row r="11" spans="1:35" ht="34.5" customHeight="1" x14ac:dyDescent="0.35">
      <c r="A11" s="63" t="s">
        <v>16</v>
      </c>
      <c r="B11" s="75"/>
      <c r="C11" s="45"/>
      <c r="D11" s="76"/>
      <c r="E11" s="87"/>
      <c r="F11" s="45"/>
      <c r="G11" s="87"/>
      <c r="H11" s="88"/>
      <c r="I11" s="88"/>
      <c r="J11" s="45"/>
      <c r="K11" s="45"/>
      <c r="L11" s="78"/>
      <c r="M11" s="45"/>
      <c r="N11" s="47" t="s">
        <v>176</v>
      </c>
      <c r="O11" s="80"/>
      <c r="P11" s="89"/>
      <c r="Q11" s="47" t="s">
        <v>176</v>
      </c>
      <c r="R11" s="47" t="s">
        <v>176</v>
      </c>
      <c r="S11" s="47" t="s">
        <v>176</v>
      </c>
      <c r="T11" s="45"/>
      <c r="U11" s="47" t="s">
        <v>176</v>
      </c>
      <c r="V11" s="78"/>
      <c r="W11" s="47" t="s">
        <v>176</v>
      </c>
      <c r="X11" s="47" t="s">
        <v>176</v>
      </c>
      <c r="Y11" s="45"/>
      <c r="Z11" s="45"/>
      <c r="AA11" s="90"/>
      <c r="AB11" s="45"/>
      <c r="AC11" s="47" t="s">
        <v>176</v>
      </c>
      <c r="AD11" s="47" t="s">
        <v>176</v>
      </c>
      <c r="AE11" s="47" t="s">
        <v>176</v>
      </c>
      <c r="AF11" s="80"/>
      <c r="AG11" s="80"/>
      <c r="AH11" s="80"/>
      <c r="AI11" s="81"/>
    </row>
    <row r="12" spans="1:35" ht="14.25" customHeight="1" x14ac:dyDescent="0.25">
      <c r="A12" s="82"/>
      <c r="B12" s="91"/>
      <c r="C12" s="92"/>
      <c r="D12" s="93"/>
      <c r="E12" s="94"/>
      <c r="F12" s="95"/>
      <c r="G12" s="96"/>
      <c r="H12" s="97"/>
      <c r="I12" s="97"/>
      <c r="J12" s="95"/>
      <c r="K12" s="95"/>
      <c r="L12" s="98"/>
      <c r="M12" s="95"/>
      <c r="N12" s="56">
        <v>8</v>
      </c>
      <c r="O12" s="99"/>
      <c r="P12" s="100"/>
      <c r="Q12" s="56">
        <v>8</v>
      </c>
      <c r="R12" s="56">
        <v>8</v>
      </c>
      <c r="S12" s="56">
        <v>8</v>
      </c>
      <c r="T12" s="95"/>
      <c r="U12" s="56">
        <v>8</v>
      </c>
      <c r="V12" s="98"/>
      <c r="W12" s="56">
        <v>8</v>
      </c>
      <c r="X12" s="56">
        <v>8</v>
      </c>
      <c r="Y12" s="54"/>
      <c r="Z12" s="95"/>
      <c r="AA12" s="90"/>
      <c r="AB12" s="95"/>
      <c r="AC12" s="56">
        <v>8</v>
      </c>
      <c r="AD12" s="56">
        <v>8</v>
      </c>
      <c r="AE12" s="56">
        <v>8</v>
      </c>
      <c r="AF12" s="60">
        <f>SUM(B12:AE12) + AF16</f>
        <v>96</v>
      </c>
      <c r="AG12" s="61"/>
      <c r="AH12" s="60"/>
      <c r="AI12" s="81"/>
    </row>
    <row r="13" spans="1:35" ht="37.5" customHeight="1" x14ac:dyDescent="0.35">
      <c r="A13" s="101" t="s">
        <v>17</v>
      </c>
      <c r="B13" s="102"/>
      <c r="C13" s="103"/>
      <c r="D13" s="104"/>
      <c r="E13" s="87"/>
      <c r="F13" s="54"/>
      <c r="G13" s="105"/>
      <c r="H13" s="88"/>
      <c r="I13" s="88"/>
      <c r="J13" s="54"/>
      <c r="K13" s="54"/>
      <c r="L13" s="78"/>
      <c r="M13" s="54"/>
      <c r="N13" s="54"/>
      <c r="O13" s="47" t="s">
        <v>176</v>
      </c>
      <c r="P13" s="47" t="s">
        <v>176</v>
      </c>
      <c r="Q13" s="54"/>
      <c r="R13" s="54"/>
      <c r="S13" s="54"/>
      <c r="T13" s="54"/>
      <c r="U13" s="54"/>
      <c r="V13" s="47" t="s">
        <v>176</v>
      </c>
      <c r="W13" s="54"/>
      <c r="X13" s="54"/>
      <c r="Y13" s="47" t="s">
        <v>176</v>
      </c>
      <c r="Z13" s="47" t="s">
        <v>176</v>
      </c>
      <c r="AA13" s="90"/>
      <c r="AB13" s="54"/>
      <c r="AC13" s="54"/>
      <c r="AD13" s="54"/>
      <c r="AE13" s="54"/>
      <c r="AF13" s="106"/>
      <c r="AG13" s="107"/>
      <c r="AH13" s="62"/>
      <c r="AI13" s="81"/>
    </row>
    <row r="14" spans="1:35" ht="14.25" customHeight="1" x14ac:dyDescent="0.25">
      <c r="A14" s="108"/>
      <c r="B14" s="102"/>
      <c r="C14" s="103"/>
      <c r="D14" s="104"/>
      <c r="E14" s="87"/>
      <c r="F14" s="54"/>
      <c r="G14" s="105"/>
      <c r="H14" s="88"/>
      <c r="I14" s="88"/>
      <c r="J14" s="54"/>
      <c r="K14" s="54"/>
      <c r="L14" s="78"/>
      <c r="M14" s="54"/>
      <c r="N14" s="54"/>
      <c r="O14" s="56">
        <v>8</v>
      </c>
      <c r="P14" s="56">
        <v>8</v>
      </c>
      <c r="Q14" s="54"/>
      <c r="R14" s="54"/>
      <c r="S14" s="54"/>
      <c r="T14" s="54"/>
      <c r="U14" s="54"/>
      <c r="V14" s="56">
        <v>8</v>
      </c>
      <c r="W14" s="54"/>
      <c r="X14" s="54"/>
      <c r="Y14" s="56">
        <v>8</v>
      </c>
      <c r="Z14" s="56">
        <v>8</v>
      </c>
      <c r="AA14" s="90"/>
      <c r="AB14" s="54"/>
      <c r="AC14" s="54"/>
      <c r="AD14" s="54"/>
      <c r="AE14" s="54"/>
      <c r="AF14" s="106"/>
      <c r="AG14" s="107"/>
      <c r="AH14" s="62"/>
      <c r="AI14" s="81"/>
    </row>
    <row r="15" spans="1:35" ht="23.25" customHeight="1" x14ac:dyDescent="0.35">
      <c r="A15" s="109"/>
      <c r="B15" s="32"/>
      <c r="C15" s="1"/>
      <c r="D15" s="110"/>
      <c r="E15" s="1"/>
      <c r="F15" s="111"/>
      <c r="G15" s="17"/>
      <c r="H15" s="17"/>
      <c r="I15" s="32"/>
      <c r="J15" s="112"/>
      <c r="K15" s="113"/>
      <c r="L15" s="114"/>
      <c r="M15" s="115"/>
      <c r="N15" s="115"/>
      <c r="O15" s="115"/>
      <c r="P15" s="32"/>
      <c r="Q15" s="115"/>
      <c r="R15" s="116"/>
      <c r="S15" s="117"/>
      <c r="T15" s="114"/>
      <c r="U15" s="114"/>
      <c r="V15" s="32"/>
      <c r="W15" s="32"/>
      <c r="X15" s="118"/>
      <c r="Y15" s="113"/>
      <c r="Z15" s="114"/>
      <c r="AA15" s="114"/>
      <c r="AB15" s="114"/>
      <c r="AC15" s="114"/>
      <c r="AD15" s="114"/>
      <c r="AE15" s="119"/>
      <c r="AF15" s="120" t="s">
        <v>181</v>
      </c>
      <c r="AG15" s="52"/>
      <c r="AH15" s="52"/>
      <c r="AI15" s="52"/>
    </row>
    <row r="16" spans="1:35" ht="9.75" customHeight="1" x14ac:dyDescent="0.35">
      <c r="A16" s="109"/>
      <c r="B16" s="121"/>
      <c r="D16" s="122"/>
      <c r="F16" s="123"/>
      <c r="I16" s="121"/>
      <c r="K16" s="52"/>
      <c r="L16" s="52"/>
      <c r="M16" s="124"/>
      <c r="N16" s="124"/>
      <c r="O16" s="124"/>
      <c r="P16" s="121"/>
      <c r="Q16" s="124"/>
      <c r="R16" s="52"/>
      <c r="S16" s="52"/>
      <c r="T16" s="125"/>
      <c r="U16" s="125"/>
      <c r="V16" s="125"/>
      <c r="W16" s="121"/>
      <c r="X16" s="126"/>
      <c r="Y16" s="52"/>
      <c r="Z16" s="52"/>
      <c r="AA16" s="52"/>
      <c r="AB16" s="52"/>
      <c r="AC16" s="52"/>
      <c r="AD16" s="52"/>
      <c r="AE16" s="127"/>
      <c r="AF16" s="128">
        <v>16</v>
      </c>
      <c r="AG16" s="52"/>
      <c r="AH16" s="52"/>
      <c r="AI16" s="52"/>
    </row>
    <row r="17" spans="1:35" ht="24" x14ac:dyDescent="0.35">
      <c r="A17" s="129"/>
      <c r="F17" s="123"/>
      <c r="K17" s="126"/>
      <c r="M17" s="124"/>
      <c r="N17" s="124"/>
      <c r="O17" s="124"/>
      <c r="P17" s="124"/>
      <c r="Q17" s="124"/>
      <c r="R17" s="52"/>
      <c r="S17" s="52"/>
      <c r="T17" s="125"/>
      <c r="U17" s="125"/>
      <c r="V17" s="125"/>
      <c r="W17" s="126"/>
      <c r="X17" s="126"/>
      <c r="Y17" s="52"/>
      <c r="Z17" s="52"/>
      <c r="AA17" s="52"/>
      <c r="AB17" s="126"/>
      <c r="AC17" s="107"/>
      <c r="AD17" s="107"/>
      <c r="AE17" s="107"/>
      <c r="AF17" s="52"/>
      <c r="AG17" s="52"/>
      <c r="AH17" s="52"/>
      <c r="AI17" s="52"/>
    </row>
    <row r="18" spans="1:35" ht="24" x14ac:dyDescent="0.35">
      <c r="A18" s="129"/>
      <c r="C18" s="148" t="s">
        <v>182</v>
      </c>
      <c r="D18" s="134"/>
      <c r="E18" s="135"/>
      <c r="F18" s="123"/>
      <c r="K18" s="52"/>
      <c r="L18" s="52"/>
      <c r="M18" s="124"/>
      <c r="N18" s="124"/>
      <c r="O18" s="124"/>
      <c r="P18" s="124"/>
      <c r="Q18" s="124"/>
      <c r="R18" s="52"/>
      <c r="S18" s="52"/>
      <c r="T18" s="125"/>
      <c r="U18" s="125"/>
      <c r="V18" s="125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</row>
    <row r="19" spans="1:35" ht="24" x14ac:dyDescent="0.35">
      <c r="A19" s="129"/>
      <c r="C19" s="136"/>
      <c r="D19" s="137"/>
      <c r="E19" s="138"/>
      <c r="F19" s="123"/>
      <c r="K19" s="52"/>
      <c r="L19" s="52"/>
      <c r="M19" s="124"/>
      <c r="N19" s="124"/>
      <c r="O19" s="124"/>
      <c r="P19" s="124"/>
      <c r="Q19" s="124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24" x14ac:dyDescent="0.35">
      <c r="A20" s="130"/>
      <c r="B20" s="123"/>
      <c r="C20" s="149" t="s">
        <v>183</v>
      </c>
      <c r="D20" s="134"/>
      <c r="E20" s="135"/>
      <c r="F20" s="131"/>
      <c r="G20" s="150"/>
      <c r="H20" s="134"/>
      <c r="I20" s="134"/>
      <c r="J20" s="135"/>
      <c r="K20" s="52"/>
      <c r="L20" s="52"/>
      <c r="M20" s="124"/>
      <c r="N20" s="124"/>
      <c r="O20" s="124"/>
      <c r="P20" s="124"/>
      <c r="Q20" s="124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</row>
    <row r="21" spans="1:35" ht="24" x14ac:dyDescent="0.2">
      <c r="A21" s="130"/>
      <c r="B21" s="123"/>
      <c r="C21" s="136"/>
      <c r="D21" s="137"/>
      <c r="E21" s="138"/>
      <c r="F21" s="131"/>
      <c r="G21" s="147"/>
      <c r="H21" s="141"/>
      <c r="I21" s="141"/>
      <c r="J21" s="146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</row>
    <row r="22" spans="1:35" ht="24" x14ac:dyDescent="0.2">
      <c r="A22" s="130"/>
      <c r="B22" s="123"/>
      <c r="C22" s="151" t="s">
        <v>184</v>
      </c>
      <c r="D22" s="134"/>
      <c r="E22" s="135"/>
      <c r="F22" s="52"/>
      <c r="G22" s="147"/>
      <c r="H22" s="141"/>
      <c r="I22" s="141"/>
      <c r="J22" s="146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</row>
    <row r="23" spans="1:35" ht="24" x14ac:dyDescent="0.2">
      <c r="A23" s="130"/>
      <c r="B23" s="123"/>
      <c r="C23" s="136"/>
      <c r="D23" s="137"/>
      <c r="E23" s="138"/>
      <c r="F23" s="52"/>
      <c r="G23" s="147"/>
      <c r="H23" s="141"/>
      <c r="I23" s="141"/>
      <c r="J23" s="146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</row>
    <row r="24" spans="1:35" ht="12.75" x14ac:dyDescent="0.2">
      <c r="A24" s="130"/>
      <c r="C24" s="152" t="s">
        <v>185</v>
      </c>
      <c r="D24" s="134"/>
      <c r="E24" s="135"/>
      <c r="F24" s="52"/>
      <c r="G24" s="136"/>
      <c r="H24" s="137"/>
      <c r="I24" s="137"/>
      <c r="J24" s="138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</row>
    <row r="25" spans="1:35" ht="12.75" x14ac:dyDescent="0.2">
      <c r="A25" s="130"/>
      <c r="B25" s="52"/>
      <c r="C25" s="136"/>
      <c r="D25" s="137"/>
      <c r="E25" s="138"/>
      <c r="F25" s="52"/>
      <c r="G25" s="132" t="s">
        <v>186</v>
      </c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</row>
    <row r="26" spans="1:35" ht="24" x14ac:dyDescent="0.2">
      <c r="A26" s="130"/>
      <c r="B26" s="52"/>
      <c r="C26" s="153" t="s">
        <v>187</v>
      </c>
      <c r="D26" s="134"/>
      <c r="E26" s="135"/>
      <c r="F26" s="52"/>
      <c r="G26" s="52"/>
      <c r="H26" s="109"/>
      <c r="I26" s="109"/>
      <c r="J26" s="109"/>
      <c r="K26" s="109"/>
      <c r="L26" s="109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</row>
    <row r="27" spans="1:35" ht="24" x14ac:dyDescent="0.2">
      <c r="A27" s="130"/>
      <c r="B27" s="52"/>
      <c r="C27" s="136"/>
      <c r="D27" s="137"/>
      <c r="E27" s="138"/>
      <c r="F27" s="52"/>
      <c r="G27" s="52"/>
      <c r="H27" s="109"/>
      <c r="I27" s="109"/>
      <c r="J27" s="109"/>
      <c r="K27" s="109"/>
      <c r="L27" s="109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</row>
    <row r="28" spans="1:35" ht="24" x14ac:dyDescent="0.2">
      <c r="A28" s="130"/>
      <c r="B28" s="52"/>
      <c r="C28" s="52"/>
      <c r="D28" s="52"/>
      <c r="E28" s="52"/>
      <c r="F28" s="52"/>
      <c r="G28" s="52"/>
      <c r="H28" s="109"/>
      <c r="I28" s="109"/>
      <c r="J28" s="109"/>
      <c r="K28" s="109"/>
      <c r="L28" s="109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</row>
    <row r="29" spans="1:35" ht="24" x14ac:dyDescent="0.2">
      <c r="A29" s="130"/>
      <c r="B29" s="52"/>
      <c r="C29" s="52"/>
      <c r="D29" s="52"/>
      <c r="E29" s="52"/>
      <c r="F29" s="52"/>
      <c r="G29" s="52"/>
      <c r="H29" s="109"/>
      <c r="I29" s="109"/>
      <c r="J29" s="109"/>
      <c r="K29" s="109"/>
      <c r="L29" s="109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</row>
  </sheetData>
  <mergeCells count="6">
    <mergeCell ref="C26:E27"/>
    <mergeCell ref="C18:E19"/>
    <mergeCell ref="C20:E21"/>
    <mergeCell ref="G20:J24"/>
    <mergeCell ref="C22:E23"/>
    <mergeCell ref="C24:E25"/>
  </mergeCells>
  <conditionalFormatting sqref="B5">
    <cfRule type="colorScale" priority="1">
      <colorScale>
        <cfvo type="min"/>
        <cfvo type="max"/>
        <color rgb="FFFFFF00"/>
        <color rgb="FF00FFFF"/>
      </colorScale>
    </cfRule>
  </conditionalFormatting>
  <conditionalFormatting sqref="K9">
    <cfRule type="notContainsBlanks" dxfId="0" priority="2">
      <formula>LEN(TRIM(K9))&gt;0</formula>
    </cfRule>
  </conditionalFormatting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Фреш контроль</vt:lpstr>
      <vt:lpstr>Тех Карты Заготовки Бар</vt:lpstr>
      <vt:lpstr>График Апрель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Grigorii</cp:lastModifiedBy>
  <dcterms:modified xsi:type="dcterms:W3CDTF">2026-07-08T19:23:25Z</dcterms:modified>
</cp:coreProperties>
</file>