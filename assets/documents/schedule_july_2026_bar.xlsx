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Апрель 2026" sheetId="1" r:id="rId5"/>
    <sheet state="hidden" name="Май 2026" sheetId="2" r:id="rId6"/>
    <sheet state="hidden" name="Июнь 2026" sheetId="3" r:id="rId7"/>
    <sheet state="visible" name="Июль 2026" sheetId="4" r:id="rId8"/>
  </sheets>
  <definedNames/>
  <calcPr/>
</workbook>
</file>

<file path=xl/sharedStrings.xml><?xml version="1.0" encoding="utf-8"?>
<sst xmlns="http://schemas.openxmlformats.org/spreadsheetml/2006/main" count="483" uniqueCount="40">
  <si>
    <t>кто/число</t>
  </si>
  <si>
    <t>Часы</t>
  </si>
  <si>
    <t>Ставка</t>
  </si>
  <si>
    <t>Ожидаемая зп.</t>
  </si>
  <si>
    <t>/день недели</t>
  </si>
  <si>
    <t>ср</t>
  </si>
  <si>
    <t>чт</t>
  </si>
  <si>
    <t>пт</t>
  </si>
  <si>
    <t>сб</t>
  </si>
  <si>
    <t>вс</t>
  </si>
  <si>
    <t>пн</t>
  </si>
  <si>
    <t>вт</t>
  </si>
  <si>
    <t>Григорий</t>
  </si>
  <si>
    <t>в</t>
  </si>
  <si>
    <t>у</t>
  </si>
  <si>
    <t>Дима</t>
  </si>
  <si>
    <t>ц</t>
  </si>
  <si>
    <t>Анна</t>
  </si>
  <si>
    <t>Общ часы:</t>
  </si>
  <si>
    <t>Марк</t>
  </si>
  <si>
    <t>Кирилл</t>
  </si>
  <si>
    <t>Глеб</t>
  </si>
  <si>
    <t>Часы ген. уборки на 1 сотрудника</t>
  </si>
  <si>
    <t>У - утренняя смена (с 11:00 до 18:00)</t>
  </si>
  <si>
    <t>Ц - целая смена (с 11:00 до закрытия)</t>
  </si>
  <si>
    <t>В - вечерняя смена (с 18:00 до закрытия)</t>
  </si>
  <si>
    <t xml:space="preserve">З - заготовочная смена </t>
  </si>
  <si>
    <t>12 января - снова в прежнем режиме с 12:00 до 00:00</t>
  </si>
  <si>
    <t>В - вечерняя смена (с 16:00 до закрытия)</t>
  </si>
  <si>
    <t>ген уборка</t>
  </si>
  <si>
    <t>ревизия</t>
  </si>
  <si>
    <t>16:00 стажер</t>
  </si>
  <si>
    <t>Настя</t>
  </si>
  <si>
    <t>Стажер (В и Е)</t>
  </si>
  <si>
    <t>В</t>
  </si>
  <si>
    <t>Е</t>
  </si>
  <si>
    <t>Соня</t>
  </si>
  <si>
    <t>собрание</t>
  </si>
  <si>
    <t>Часы работы</t>
  </si>
  <si>
    <t>Стажер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</si>
</sst>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27">
    <font>
      <sz val="10.0"/>
      <color rgb="FF000000"/>
      <name val="Arial"/>
      <scheme val="minor"/>
    </font>
    <font>
      <sz val="18.0"/>
      <color theme="1"/>
      <name val="Century Gothic"/>
    </font>
    <font>
      <color theme="1"/>
      <name val="Century Gothic"/>
    </font>
    <font>
      <color theme="1"/>
      <name val="Arial"/>
    </font>
    <font>
      <sz val="17.0"/>
      <color theme="1"/>
      <name val="Century Gothic"/>
    </font>
    <font>
      <sz val="20.0"/>
      <color theme="1"/>
      <name val="Arial"/>
    </font>
    <font>
      <sz val="7.0"/>
      <color theme="1"/>
      <name val="Century Gothic"/>
    </font>
    <font>
      <sz val="7.0"/>
      <color theme="1"/>
      <name val="Arial"/>
    </font>
    <font>
      <sz val="13.0"/>
      <color theme="1"/>
      <name val="Century Gothic"/>
    </font>
    <font>
      <sz val="10.0"/>
      <color theme="1"/>
      <name val="Arial"/>
    </font>
    <font>
      <sz val="10.0"/>
      <color theme="1"/>
      <name val="Century Gothic"/>
    </font>
    <font>
      <sz val="13.0"/>
      <color theme="1"/>
      <name val="Arial"/>
    </font>
    <font>
      <sz val="11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sz val="9.0"/>
      <color theme="1"/>
      <name val="Arial"/>
      <scheme val="minor"/>
    </font>
    <font>
      <b/>
      <sz val="14.0"/>
      <color theme="1"/>
      <name val="Arial"/>
    </font>
    <font>
      <b/>
      <sz val="17.0"/>
      <color theme="1"/>
      <name val="Arial"/>
    </font>
    <font>
      <sz val="8.0"/>
      <color theme="1"/>
      <name val="Century Gothic"/>
    </font>
    <font>
      <sz val="7.0"/>
      <color theme="1"/>
      <name val="Arial"/>
      <scheme val="minor"/>
    </font>
    <font>
      <sz val="15.0"/>
      <color theme="1"/>
      <name val="Century Gothic"/>
    </font>
    <font>
      <sz val="11.0"/>
      <color theme="1"/>
      <name val="Arial"/>
      <scheme val="minor"/>
    </font>
    <font/>
    <font>
      <sz val="12.0"/>
      <color rgb="FF000000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25">
    <border/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ck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164" xfId="0" applyAlignment="1" applyBorder="1" applyFont="1" applyNumberForma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10" fillId="2" fontId="4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horizontal="center" readingOrder="0" vertical="center"/>
    </xf>
    <xf borderId="4" fillId="3" fontId="5" numFmtId="0" xfId="0" applyAlignment="1" applyBorder="1" applyFill="1" applyFont="1">
      <alignment horizontal="center" readingOrder="0" vertical="center"/>
    </xf>
    <xf borderId="4" fillId="4" fontId="5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2" fillId="5" fontId="5" numFmtId="0" xfId="0" applyAlignment="1" applyBorder="1" applyFill="1" applyFont="1">
      <alignment horizontal="center" readingOrder="0" vertical="center"/>
    </xf>
    <xf borderId="11" fillId="0" fontId="3" numFmtId="0" xfId="0" applyBorder="1" applyFont="1"/>
    <xf borderId="0" fillId="0" fontId="3" numFmtId="0" xfId="0" applyFont="1"/>
    <xf borderId="1" fillId="2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2" fillId="5" fontId="6" numFmtId="0" xfId="0" applyAlignment="1" applyBorder="1" applyFont="1">
      <alignment horizontal="center" readingOrder="0" vertical="center"/>
    </xf>
    <xf borderId="4" fillId="0" fontId="7" numFmtId="0" xfId="0" applyBorder="1" applyFont="1"/>
    <xf borderId="4" fillId="0" fontId="7" numFmtId="0" xfId="0" applyAlignment="1" applyBorder="1" applyFont="1">
      <alignment readingOrder="0"/>
    </xf>
    <xf borderId="0" fillId="0" fontId="7" numFmtId="0" xfId="0" applyFont="1"/>
    <xf borderId="1" fillId="2" fontId="1" numFmtId="0" xfId="0" applyAlignment="1" applyBorder="1" applyFont="1">
      <alignment horizontal="center" readingOrder="0"/>
    </xf>
    <xf borderId="2" fillId="6" fontId="5" numFmtId="0" xfId="0" applyAlignment="1" applyBorder="1" applyFill="1" applyFont="1">
      <alignment horizontal="center"/>
    </xf>
    <xf borderId="1" fillId="3" fontId="5" numFmtId="0" xfId="0" applyAlignment="1" applyBorder="1" applyFont="1">
      <alignment horizontal="center" readingOrder="0" vertical="center"/>
    </xf>
    <xf borderId="4" fillId="0" fontId="3" numFmtId="20" xfId="0" applyBorder="1" applyFont="1" applyNumberFormat="1"/>
    <xf borderId="0" fillId="0" fontId="3" numFmtId="20" xfId="0" applyFont="1" applyNumberFormat="1"/>
    <xf borderId="2" fillId="6" fontId="6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horizontal="center"/>
    </xf>
    <xf borderId="0" fillId="0" fontId="3" numFmtId="0" xfId="0" applyAlignment="1" applyFont="1">
      <alignment horizontal="right" readingOrder="0"/>
    </xf>
    <xf borderId="1" fillId="0" fontId="7" numFmtId="0" xfId="0" applyAlignment="1" applyBorder="1" applyFont="1">
      <alignment horizontal="center" readingOrder="0" vertical="center"/>
    </xf>
    <xf borderId="2" fillId="5" fontId="6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4" fillId="5" fontId="5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0" fillId="0" fontId="11" numFmtId="20" xfId="0" applyFont="1" applyNumberFormat="1"/>
    <xf borderId="1" fillId="2" fontId="8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 vertical="center"/>
    </xf>
    <xf borderId="2" fillId="7" fontId="6" numFmtId="0" xfId="0" applyAlignment="1" applyBorder="1" applyFill="1" applyFont="1">
      <alignment horizontal="center" readingOrder="0"/>
    </xf>
    <xf borderId="4" fillId="5" fontId="7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readingOrder="0" vertical="center"/>
    </xf>
    <xf borderId="12" fillId="0" fontId="12" numFmtId="0" xfId="0" applyAlignment="1" applyBorder="1" applyFont="1">
      <alignment horizontal="center" readingOrder="0" vertical="center"/>
    </xf>
    <xf borderId="12" fillId="0" fontId="11" numFmtId="0" xfId="0" applyAlignment="1" applyBorder="1" applyFont="1">
      <alignment horizontal="center" readingOrder="0" vertical="center"/>
    </xf>
    <xf borderId="12" fillId="0" fontId="12" numFmtId="20" xfId="0" applyAlignment="1" applyBorder="1" applyFont="1" applyNumberFormat="1">
      <alignment horizontal="center" readingOrder="0" vertical="center"/>
    </xf>
    <xf borderId="12" fillId="0" fontId="11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vertical="center"/>
    </xf>
    <xf borderId="15" fillId="2" fontId="1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2" numFmtId="20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readingOrder="0"/>
    </xf>
    <xf borderId="2" fillId="0" fontId="7" numFmtId="0" xfId="0" applyBorder="1" applyFont="1"/>
    <xf borderId="4" fillId="2" fontId="8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 vertical="center"/>
    </xf>
    <xf borderId="16" fillId="0" fontId="13" numFmtId="0" xfId="0" applyAlignment="1" applyBorder="1" applyFont="1">
      <alignment horizontal="center" readingOrder="0" vertical="center"/>
    </xf>
    <xf borderId="16" fillId="0" fontId="14" numFmtId="0" xfId="0" applyBorder="1" applyFont="1"/>
    <xf borderId="16" fillId="0" fontId="15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readingOrder="0" vertical="center"/>
    </xf>
    <xf borderId="16" fillId="0" fontId="14" numFmtId="0" xfId="0" applyAlignment="1" applyBorder="1" applyFont="1">
      <alignment readingOrder="0"/>
    </xf>
    <xf borderId="16" fillId="0" fontId="16" numFmtId="0" xfId="0" applyAlignment="1" applyBorder="1" applyFont="1">
      <alignment readingOrder="0"/>
    </xf>
    <xf borderId="16" fillId="0" fontId="3" numFmtId="0" xfId="0" applyAlignment="1" applyBorder="1" applyFont="1">
      <alignment readingOrder="0"/>
    </xf>
    <xf borderId="16" fillId="0" fontId="3" numFmtId="0" xfId="0" applyBorder="1" applyFont="1"/>
    <xf borderId="16" fillId="0" fontId="1" numFmtId="0" xfId="0" applyAlignment="1" applyBorder="1" applyFont="1">
      <alignment horizontal="center" readingOrder="0" shrinkToFit="0" wrapText="1"/>
    </xf>
    <xf borderId="16" fillId="0" fontId="17" numFmtId="0" xfId="0" applyAlignment="1" applyBorder="1" applyFont="1">
      <alignment horizontal="center" readingOrder="0" vertical="center"/>
    </xf>
    <xf borderId="16" fillId="0" fontId="17" numFmtId="0" xfId="0" applyAlignment="1" applyBorder="1" applyFont="1">
      <alignment horizontal="center" readingOrder="0"/>
    </xf>
    <xf borderId="16" fillId="0" fontId="18" numFmtId="20" xfId="0" applyAlignment="1" applyBorder="1" applyFont="1" applyNumberFormat="1">
      <alignment horizontal="center" readingOrder="0" vertical="center"/>
    </xf>
    <xf borderId="13" fillId="0" fontId="3" numFmtId="0" xfId="0" applyBorder="1" applyFont="1"/>
    <xf borderId="2" fillId="0" fontId="1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20" numFmtId="20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1"/>
    </xf>
    <xf borderId="0" fillId="0" fontId="21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17" fillId="0" fontId="3" numFmtId="0" xfId="0" applyBorder="1" applyFont="1"/>
    <xf borderId="2" fillId="0" fontId="7" numFmtId="0" xfId="0" applyAlignment="1" applyBorder="1" applyFont="1">
      <alignment readingOrder="0" vertical="center"/>
    </xf>
    <xf borderId="18" fillId="2" fontId="1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19" fillId="4" fontId="22" numFmtId="0" xfId="0" applyAlignment="1" applyBorder="1" applyFont="1">
      <alignment horizontal="center" readingOrder="0" vertical="center"/>
    </xf>
    <xf borderId="16" fillId="0" fontId="23" numFmtId="0" xfId="0" applyBorder="1" applyFont="1"/>
    <xf borderId="13" fillId="0" fontId="23" numFmtId="0" xfId="0" applyBorder="1" applyFont="1"/>
    <xf borderId="20" fillId="0" fontId="23" numFmtId="0" xfId="0" applyBorder="1" applyFont="1"/>
    <xf borderId="21" fillId="0" fontId="23" numFmtId="0" xfId="0" applyBorder="1" applyFont="1"/>
    <xf borderId="22" fillId="0" fontId="23" numFmtId="0" xfId="0" applyBorder="1" applyFont="1"/>
    <xf borderId="18" fillId="0" fontId="3" numFmtId="0" xfId="0" applyBorder="1" applyFont="1"/>
    <xf borderId="19" fillId="6" fontId="22" numFmtId="0" xfId="0" applyAlignment="1" applyBorder="1" applyFont="1">
      <alignment horizontal="center" readingOrder="0" vertical="center"/>
    </xf>
    <xf borderId="0" fillId="2" fontId="3" numFmtId="0" xfId="0" applyFont="1"/>
    <xf borderId="19" fillId="8" fontId="24" numFmtId="0" xfId="0" applyAlignment="1" applyBorder="1" applyFill="1" applyFont="1">
      <alignment horizontal="center" readingOrder="0" vertical="center"/>
    </xf>
    <xf borderId="23" fillId="0" fontId="23" numFmtId="0" xfId="0" applyBorder="1" applyFont="1"/>
    <xf borderId="17" fillId="0" fontId="23" numFmtId="0" xfId="0" applyBorder="1" applyFont="1"/>
    <xf borderId="19" fillId="3" fontId="22" numFmtId="0" xfId="0" applyAlignment="1" applyBorder="1" applyFont="1">
      <alignment horizontal="center" readingOrder="0" vertical="center"/>
    </xf>
    <xf borderId="19" fillId="7" fontId="22" numFmtId="0" xfId="0" applyAlignment="1" applyBorder="1" applyFont="1">
      <alignment horizontal="center" readingOrder="0" vertical="center"/>
    </xf>
    <xf borderId="0" fillId="0" fontId="25" numFmtId="0" xfId="0" applyAlignment="1" applyFont="1">
      <alignment readingOrder="0"/>
    </xf>
    <xf borderId="19" fillId="9" fontId="22" numFmtId="0" xfId="0" applyAlignment="1" applyBorder="1" applyFill="1" applyFont="1">
      <alignment horizontal="center" readingOrder="0" vertical="center"/>
    </xf>
    <xf borderId="2" fillId="10" fontId="1" numFmtId="164" xfId="0" applyAlignment="1" applyBorder="1" applyFill="1" applyFont="1" applyNumberFormat="1">
      <alignment horizontal="center" readingOrder="0"/>
    </xf>
    <xf borderId="6" fillId="10" fontId="1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22" fillId="0" fontId="5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/>
    </xf>
    <xf borderId="24" fillId="6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24" fillId="6" fontId="6" numFmtId="0" xfId="0" applyAlignment="1" applyBorder="1" applyFont="1">
      <alignment horizontal="center" readingOrder="0"/>
    </xf>
    <xf borderId="24" fillId="0" fontId="10" numFmtId="0" xfId="0" applyAlignment="1" applyBorder="1" applyFont="1">
      <alignment horizontal="center" readingOrder="0" vertical="center"/>
    </xf>
    <xf borderId="16" fillId="0" fontId="10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4" fillId="11" fontId="26" numFmtId="0" xfId="0" applyAlignment="1" applyBorder="1" applyFill="1" applyFont="1">
      <alignment horizontal="center" readingOrder="0" vertical="center"/>
    </xf>
    <xf borderId="0" fillId="8" fontId="26" numFmtId="0" xfId="0" applyAlignment="1" applyFont="1">
      <alignment horizontal="center" readingOrder="0" vertical="center"/>
    </xf>
    <xf borderId="4" fillId="0" fontId="14" numFmtId="0" xfId="0" applyAlignment="1" applyBorder="1" applyFont="1">
      <alignment readingOrder="0"/>
    </xf>
    <xf borderId="4" fillId="0" fontId="21" numFmtId="0" xfId="0" applyAlignment="1" applyBorder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4" fillId="7" fontId="7" numFmtId="0" xfId="0" applyAlignment="1" applyBorder="1" applyFont="1">
      <alignment horizontal="center" readingOrder="0" vertical="center"/>
    </xf>
    <xf borderId="4" fillId="0" fontId="3" numFmtId="0" xfId="0" applyBorder="1" applyFont="1"/>
    <xf borderId="16" fillId="12" fontId="26" numFmtId="0" xfId="0" applyAlignment="1" applyBorder="1" applyFill="1" applyFont="1">
      <alignment horizontal="center" readingOrder="0" vertical="center"/>
    </xf>
    <xf borderId="16" fillId="0" fontId="26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readingOrder="0" vertical="center"/>
    </xf>
    <xf borderId="4" fillId="0" fontId="14" numFmtId="0" xfId="0" applyBorder="1" applyFont="1"/>
    <xf borderId="4" fillId="0" fontId="15" numFmtId="0" xfId="0" applyAlignment="1" applyBorder="1" applyFont="1">
      <alignment horizontal="center" readingOrder="0" vertical="center"/>
    </xf>
    <xf borderId="4" fillId="0" fontId="20" numFmtId="20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5.25"/>
    <col customWidth="1" min="34" max="35" width="13.38"/>
  </cols>
  <sheetData>
    <row r="1">
      <c r="A1" s="1" t="s">
        <v>0</v>
      </c>
      <c r="B1" s="2">
        <v>45748.0</v>
      </c>
      <c r="C1" s="2">
        <v>45749.0</v>
      </c>
      <c r="D1" s="2">
        <v>45750.0</v>
      </c>
      <c r="E1" s="2">
        <v>45751.0</v>
      </c>
      <c r="F1" s="2">
        <v>45752.0</v>
      </c>
      <c r="G1" s="2">
        <v>45753.0</v>
      </c>
      <c r="H1" s="2">
        <v>45754.0</v>
      </c>
      <c r="I1" s="2">
        <v>45755.0</v>
      </c>
      <c r="J1" s="2">
        <v>45756.0</v>
      </c>
      <c r="K1" s="2">
        <v>45757.0</v>
      </c>
      <c r="L1" s="2">
        <v>45758.0</v>
      </c>
      <c r="M1" s="2">
        <v>45759.0</v>
      </c>
      <c r="N1" s="2">
        <v>45760.0</v>
      </c>
      <c r="O1" s="2">
        <v>45761.0</v>
      </c>
      <c r="P1" s="3">
        <v>45762.0</v>
      </c>
      <c r="Q1" s="2">
        <v>45763.0</v>
      </c>
      <c r="R1" s="2">
        <v>45764.0</v>
      </c>
      <c r="S1" s="2">
        <v>45765.0</v>
      </c>
      <c r="T1" s="2">
        <v>45766.0</v>
      </c>
      <c r="U1" s="2">
        <v>45767.0</v>
      </c>
      <c r="V1" s="2">
        <v>45768.0</v>
      </c>
      <c r="W1" s="2">
        <v>45769.0</v>
      </c>
      <c r="X1" s="2">
        <v>45770.0</v>
      </c>
      <c r="Y1" s="2">
        <v>45771.0</v>
      </c>
      <c r="Z1" s="2">
        <v>45772.0</v>
      </c>
      <c r="AA1" s="2">
        <v>45773.0</v>
      </c>
      <c r="AB1" s="2">
        <v>45774.0</v>
      </c>
      <c r="AC1" s="2">
        <v>45775.0</v>
      </c>
      <c r="AD1" s="2">
        <v>45776.0</v>
      </c>
      <c r="AE1" s="2">
        <v>45777.0</v>
      </c>
      <c r="AF1" s="4" t="s">
        <v>1</v>
      </c>
      <c r="AG1" s="4" t="s">
        <v>2</v>
      </c>
      <c r="AH1" s="4" t="s">
        <v>3</v>
      </c>
      <c r="AI1" s="5"/>
    </row>
    <row r="2" ht="23.25" customHeight="1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8" t="s">
        <v>5</v>
      </c>
      <c r="Q2" s="7" t="s">
        <v>6</v>
      </c>
      <c r="R2" s="7" t="s">
        <v>7</v>
      </c>
      <c r="S2" s="7" t="s">
        <v>8</v>
      </c>
      <c r="T2" s="7" t="s">
        <v>9</v>
      </c>
      <c r="U2" s="7" t="s">
        <v>10</v>
      </c>
      <c r="V2" s="7" t="s">
        <v>11</v>
      </c>
      <c r="W2" s="7" t="s">
        <v>5</v>
      </c>
      <c r="X2" s="7" t="s">
        <v>6</v>
      </c>
      <c r="Y2" s="7" t="s">
        <v>7</v>
      </c>
      <c r="Z2" s="7" t="s">
        <v>8</v>
      </c>
      <c r="AA2" s="7" t="s">
        <v>9</v>
      </c>
      <c r="AB2" s="7" t="s">
        <v>10</v>
      </c>
      <c r="AC2" s="7" t="s">
        <v>11</v>
      </c>
      <c r="AD2" s="7" t="s">
        <v>5</v>
      </c>
      <c r="AE2" s="7" t="s">
        <v>6</v>
      </c>
      <c r="AF2" s="9"/>
      <c r="AG2" s="10"/>
      <c r="AH2" s="10"/>
      <c r="AI2" s="11"/>
    </row>
    <row r="3" ht="30.75" customHeight="1">
      <c r="A3" s="12" t="s">
        <v>12</v>
      </c>
      <c r="B3" s="13"/>
      <c r="C3" s="13"/>
      <c r="D3" s="13"/>
      <c r="E3" s="13"/>
      <c r="F3" s="14" t="s">
        <v>13</v>
      </c>
      <c r="G3" s="15" t="s">
        <v>14</v>
      </c>
      <c r="H3" s="15" t="s">
        <v>14</v>
      </c>
      <c r="I3" s="15" t="s">
        <v>14</v>
      </c>
      <c r="J3" s="15" t="s">
        <v>14</v>
      </c>
      <c r="K3" s="15" t="s">
        <v>14</v>
      </c>
      <c r="L3" s="16"/>
      <c r="M3" s="16"/>
      <c r="N3" s="15" t="s">
        <v>14</v>
      </c>
      <c r="O3" s="15" t="s">
        <v>14</v>
      </c>
      <c r="P3" s="17" t="s">
        <v>14</v>
      </c>
      <c r="Q3" s="18"/>
      <c r="R3" s="16"/>
      <c r="S3" s="15" t="s">
        <v>14</v>
      </c>
      <c r="T3" s="15" t="s">
        <v>14</v>
      </c>
      <c r="U3" s="16"/>
      <c r="V3" s="16"/>
      <c r="W3" s="15" t="s">
        <v>14</v>
      </c>
      <c r="X3" s="15" t="s">
        <v>14</v>
      </c>
      <c r="Y3" s="15" t="s">
        <v>14</v>
      </c>
      <c r="Z3" s="16"/>
      <c r="AA3" s="15" t="s">
        <v>14</v>
      </c>
      <c r="AB3" s="15" t="s">
        <v>14</v>
      </c>
      <c r="AC3" s="16"/>
      <c r="AD3" s="16"/>
      <c r="AE3" s="16"/>
      <c r="AF3" s="19"/>
      <c r="AG3" s="19"/>
      <c r="AH3" s="19"/>
      <c r="AI3" s="20"/>
    </row>
    <row r="4" ht="12.75" customHeight="1">
      <c r="A4" s="21"/>
      <c r="B4" s="22"/>
      <c r="C4" s="22"/>
      <c r="D4" s="22"/>
      <c r="E4" s="22"/>
      <c r="F4" s="23">
        <v>6.0</v>
      </c>
      <c r="G4" s="24">
        <v>9.0</v>
      </c>
      <c r="H4" s="24">
        <v>9.0</v>
      </c>
      <c r="I4" s="24">
        <v>9.0</v>
      </c>
      <c r="J4" s="24">
        <v>9.0</v>
      </c>
      <c r="K4" s="24">
        <v>9.0</v>
      </c>
      <c r="L4" s="25"/>
      <c r="M4" s="25"/>
      <c r="N4" s="24">
        <v>8.0</v>
      </c>
      <c r="O4" s="24">
        <v>8.0</v>
      </c>
      <c r="P4" s="26">
        <v>8.0</v>
      </c>
      <c r="Q4" s="27"/>
      <c r="R4" s="25"/>
      <c r="S4" s="24">
        <v>8.0</v>
      </c>
      <c r="T4" s="24">
        <v>8.0</v>
      </c>
      <c r="U4" s="25"/>
      <c r="V4" s="25"/>
      <c r="W4" s="24">
        <v>8.0</v>
      </c>
      <c r="X4" s="24">
        <v>8.0</v>
      </c>
      <c r="Y4" s="24">
        <v>8.0</v>
      </c>
      <c r="Z4" s="25"/>
      <c r="AA4" s="24">
        <v>8.0</v>
      </c>
      <c r="AB4" s="24">
        <v>8.0</v>
      </c>
      <c r="AC4" s="25"/>
      <c r="AD4" s="25"/>
      <c r="AE4" s="25"/>
      <c r="AF4" s="28">
        <f>SUM(B4:AE4) + AF16</f>
        <v>147</v>
      </c>
      <c r="AG4" s="29">
        <v>0.0</v>
      </c>
      <c r="AH4" s="28">
        <f>PRODUCT(AF4,AG4)</f>
        <v>0</v>
      </c>
      <c r="AI4" s="30"/>
    </row>
    <row r="5" ht="33.0" customHeight="1">
      <c r="A5" s="31" t="s">
        <v>15</v>
      </c>
      <c r="B5" s="16"/>
      <c r="C5" s="16"/>
      <c r="D5" s="32" t="s">
        <v>16</v>
      </c>
      <c r="E5" s="32" t="s">
        <v>16</v>
      </c>
      <c r="F5" s="15" t="s">
        <v>14</v>
      </c>
      <c r="G5" s="14" t="s">
        <v>13</v>
      </c>
      <c r="H5" s="14" t="s">
        <v>13</v>
      </c>
      <c r="I5" s="16"/>
      <c r="J5" s="16"/>
      <c r="K5" s="14" t="s">
        <v>13</v>
      </c>
      <c r="L5" s="32" t="s">
        <v>16</v>
      </c>
      <c r="M5" s="32" t="s">
        <v>16</v>
      </c>
      <c r="N5" s="16"/>
      <c r="O5" s="14" t="s">
        <v>13</v>
      </c>
      <c r="P5" s="33" t="s">
        <v>13</v>
      </c>
      <c r="Q5" s="16"/>
      <c r="R5" s="32" t="s">
        <v>16</v>
      </c>
      <c r="S5" s="32" t="s">
        <v>16</v>
      </c>
      <c r="T5" s="32" t="s">
        <v>16</v>
      </c>
      <c r="U5" s="16"/>
      <c r="V5" s="16"/>
      <c r="W5" s="14" t="s">
        <v>13</v>
      </c>
      <c r="X5" s="14" t="s">
        <v>13</v>
      </c>
      <c r="Y5" s="16"/>
      <c r="Z5" s="32" t="s">
        <v>16</v>
      </c>
      <c r="AA5" s="15" t="s">
        <v>14</v>
      </c>
      <c r="AB5" s="14" t="s">
        <v>13</v>
      </c>
      <c r="AC5" s="16"/>
      <c r="AD5" s="16"/>
      <c r="AE5" s="32" t="s">
        <v>16</v>
      </c>
      <c r="AF5" s="34"/>
      <c r="AG5" s="34"/>
      <c r="AH5" s="34"/>
      <c r="AI5" s="35"/>
    </row>
    <row r="6" ht="13.5" customHeight="1">
      <c r="A6" s="21"/>
      <c r="B6" s="25"/>
      <c r="C6" s="25"/>
      <c r="D6" s="36">
        <v>14.0</v>
      </c>
      <c r="E6" s="36">
        <v>13.0</v>
      </c>
      <c r="F6" s="24">
        <v>9.0</v>
      </c>
      <c r="G6" s="23">
        <v>6.0</v>
      </c>
      <c r="H6" s="23">
        <v>6.0</v>
      </c>
      <c r="I6" s="25"/>
      <c r="J6" s="25"/>
      <c r="K6" s="23">
        <v>6.0</v>
      </c>
      <c r="L6" s="36">
        <v>13.0</v>
      </c>
      <c r="M6" s="36">
        <v>13.0</v>
      </c>
      <c r="N6" s="25"/>
      <c r="O6" s="23">
        <v>6.0</v>
      </c>
      <c r="P6" s="37">
        <v>6.0</v>
      </c>
      <c r="Q6" s="25"/>
      <c r="R6" s="36">
        <v>14.0</v>
      </c>
      <c r="S6" s="36">
        <v>13.0</v>
      </c>
      <c r="T6" s="36">
        <v>13.0</v>
      </c>
      <c r="U6" s="25"/>
      <c r="V6" s="25"/>
      <c r="W6" s="23">
        <v>6.0</v>
      </c>
      <c r="X6" s="23">
        <v>6.0</v>
      </c>
      <c r="Y6" s="25"/>
      <c r="Z6" s="36">
        <v>13.0</v>
      </c>
      <c r="AA6" s="24">
        <v>8.0</v>
      </c>
      <c r="AB6" s="23">
        <v>6.0</v>
      </c>
      <c r="AC6" s="25"/>
      <c r="AD6" s="25"/>
      <c r="AE6" s="36">
        <v>14.0</v>
      </c>
      <c r="AF6" s="28">
        <f>SUM(B6:AE6) + AF16</f>
        <v>201</v>
      </c>
      <c r="AG6" s="29">
        <v>300.0</v>
      </c>
      <c r="AH6" s="28">
        <f>PRODUCT(AF6,AG6)</f>
        <v>60300</v>
      </c>
      <c r="AI6" s="30"/>
    </row>
    <row r="7" ht="32.25" customHeight="1">
      <c r="A7" s="31" t="s">
        <v>17</v>
      </c>
      <c r="B7" s="32" t="s">
        <v>16</v>
      </c>
      <c r="C7" s="16"/>
      <c r="D7" s="16"/>
      <c r="E7" s="15" t="s">
        <v>14</v>
      </c>
      <c r="F7" s="32" t="s">
        <v>16</v>
      </c>
      <c r="G7" s="13"/>
      <c r="H7" s="16"/>
      <c r="I7" s="32" t="s">
        <v>16</v>
      </c>
      <c r="J7" s="32" t="s">
        <v>16</v>
      </c>
      <c r="K7" s="16"/>
      <c r="L7" s="16"/>
      <c r="M7" s="15" t="s">
        <v>14</v>
      </c>
      <c r="N7" s="32" t="s">
        <v>16</v>
      </c>
      <c r="O7" s="13"/>
      <c r="P7" s="38"/>
      <c r="Q7" s="32" t="s">
        <v>16</v>
      </c>
      <c r="R7" s="39"/>
      <c r="S7" s="16"/>
      <c r="T7" s="13"/>
      <c r="U7" s="32" t="s">
        <v>16</v>
      </c>
      <c r="V7" s="32" t="s">
        <v>16</v>
      </c>
      <c r="W7" s="13"/>
      <c r="X7" s="16"/>
      <c r="Y7" s="32" t="s">
        <v>16</v>
      </c>
      <c r="Z7" s="32" t="s">
        <v>16</v>
      </c>
      <c r="AA7" s="14" t="s">
        <v>13</v>
      </c>
      <c r="AB7" s="13"/>
      <c r="AC7" s="32" t="s">
        <v>16</v>
      </c>
      <c r="AD7" s="32" t="s">
        <v>16</v>
      </c>
      <c r="AE7" s="13"/>
      <c r="AF7" s="34"/>
      <c r="AG7" s="34"/>
      <c r="AH7" s="34"/>
      <c r="AI7" s="40" t="s">
        <v>18</v>
      </c>
    </row>
    <row r="8" ht="12.0" customHeight="1">
      <c r="A8" s="21"/>
      <c r="B8" s="36">
        <v>14.0</v>
      </c>
      <c r="C8" s="25"/>
      <c r="D8" s="25"/>
      <c r="E8" s="24">
        <v>9.0</v>
      </c>
      <c r="F8" s="36">
        <v>13.0</v>
      </c>
      <c r="G8" s="22"/>
      <c r="H8" s="25"/>
      <c r="I8" s="36">
        <v>14.0</v>
      </c>
      <c r="J8" s="36">
        <v>14.0</v>
      </c>
      <c r="K8" s="25"/>
      <c r="L8" s="25"/>
      <c r="M8" s="24">
        <v>8.0</v>
      </c>
      <c r="N8" s="36">
        <v>14.0</v>
      </c>
      <c r="O8" s="22"/>
      <c r="P8" s="41"/>
      <c r="Q8" s="36">
        <v>14.0</v>
      </c>
      <c r="R8" s="42"/>
      <c r="S8" s="25"/>
      <c r="T8" s="22"/>
      <c r="U8" s="36">
        <v>14.0</v>
      </c>
      <c r="V8" s="36">
        <v>14.0</v>
      </c>
      <c r="W8" s="22"/>
      <c r="X8" s="25"/>
      <c r="Y8" s="36">
        <v>14.0</v>
      </c>
      <c r="Z8" s="36">
        <v>13.0</v>
      </c>
      <c r="AA8" s="23">
        <v>6.0</v>
      </c>
      <c r="AB8" s="22"/>
      <c r="AC8" s="36">
        <v>14.0</v>
      </c>
      <c r="AD8" s="36">
        <v>14.0</v>
      </c>
      <c r="AE8" s="22"/>
      <c r="AF8" s="28">
        <f>SUM(B8:AE8) + AF16</f>
        <v>205</v>
      </c>
      <c r="AG8" s="29">
        <v>150.0</v>
      </c>
      <c r="AH8" s="28">
        <f>PRODUCT(AF8,AG8)</f>
        <v>30750</v>
      </c>
      <c r="AI8" s="30">
        <f>SUM(AF4,AF6,AF8,AF10,AF12,AF14)</f>
        <v>808</v>
      </c>
    </row>
    <row r="9" ht="32.25" customHeight="1">
      <c r="A9" s="31" t="s">
        <v>19</v>
      </c>
      <c r="B9" s="43"/>
      <c r="C9" s="13"/>
      <c r="D9" s="13"/>
      <c r="E9" s="14" t="s">
        <v>13</v>
      </c>
      <c r="F9" s="13"/>
      <c r="G9" s="13"/>
      <c r="H9" s="16"/>
      <c r="I9" s="14" t="s">
        <v>13</v>
      </c>
      <c r="J9" s="14" t="s">
        <v>13</v>
      </c>
      <c r="K9" s="16"/>
      <c r="L9" s="32" t="s">
        <v>16</v>
      </c>
      <c r="M9" s="44"/>
      <c r="N9" s="14" t="s">
        <v>13</v>
      </c>
      <c r="O9" s="13"/>
      <c r="P9" s="32" t="s">
        <v>16</v>
      </c>
      <c r="Q9" s="16"/>
      <c r="R9" s="32" t="s">
        <v>16</v>
      </c>
      <c r="S9" s="39"/>
      <c r="T9" s="39"/>
      <c r="U9" s="13"/>
      <c r="V9" s="15" t="s">
        <v>14</v>
      </c>
      <c r="W9" s="14" t="s">
        <v>13</v>
      </c>
      <c r="X9" s="14" t="s">
        <v>13</v>
      </c>
      <c r="Y9" s="45"/>
      <c r="Z9" s="46"/>
      <c r="AA9" s="39"/>
      <c r="AB9" s="13"/>
      <c r="AC9" s="14" t="s">
        <v>13</v>
      </c>
      <c r="AD9" s="14" t="s">
        <v>13</v>
      </c>
      <c r="AE9" s="13"/>
      <c r="AF9" s="47"/>
      <c r="AG9" s="47"/>
      <c r="AH9" s="47"/>
      <c r="AI9" s="48"/>
    </row>
    <row r="10" ht="12.75" customHeight="1">
      <c r="A10" s="49"/>
      <c r="B10" s="43"/>
      <c r="C10" s="22"/>
      <c r="D10" s="22"/>
      <c r="E10" s="23">
        <v>6.0</v>
      </c>
      <c r="F10" s="22"/>
      <c r="G10" s="22"/>
      <c r="H10" s="25"/>
      <c r="I10" s="23">
        <v>6.0</v>
      </c>
      <c r="J10" s="23">
        <v>6.0</v>
      </c>
      <c r="K10" s="25"/>
      <c r="L10" s="36">
        <v>13.0</v>
      </c>
      <c r="M10" s="44"/>
      <c r="N10" s="23">
        <v>6.0</v>
      </c>
      <c r="O10" s="22"/>
      <c r="P10" s="36">
        <v>14.0</v>
      </c>
      <c r="Q10" s="50"/>
      <c r="R10" s="51">
        <v>14.0</v>
      </c>
      <c r="S10" s="42"/>
      <c r="T10" s="42"/>
      <c r="U10" s="22"/>
      <c r="V10" s="24">
        <v>8.0</v>
      </c>
      <c r="W10" s="23">
        <v>6.0</v>
      </c>
      <c r="X10" s="23">
        <v>6.0</v>
      </c>
      <c r="Y10" s="52"/>
      <c r="Z10" s="46"/>
      <c r="AA10" s="42"/>
      <c r="AB10" s="53"/>
      <c r="AC10" s="23">
        <v>6.0</v>
      </c>
      <c r="AD10" s="23">
        <v>6.0</v>
      </c>
      <c r="AE10" s="53"/>
      <c r="AF10" s="28">
        <f>SUM(B10:AE10) + AF16</f>
        <v>113</v>
      </c>
      <c r="AG10" s="29">
        <v>150.0</v>
      </c>
      <c r="AH10" s="28">
        <f>PRODUCT(AF10,AG10)</f>
        <v>16950</v>
      </c>
      <c r="AI10" s="48"/>
    </row>
    <row r="11" ht="34.5" customHeight="1">
      <c r="A11" s="31" t="s">
        <v>20</v>
      </c>
      <c r="B11" s="43"/>
      <c r="C11" s="13"/>
      <c r="D11" s="44"/>
      <c r="E11" s="54"/>
      <c r="F11" s="13"/>
      <c r="G11" s="54"/>
      <c r="H11" s="55"/>
      <c r="I11" s="55"/>
      <c r="J11" s="13"/>
      <c r="K11" s="13"/>
      <c r="L11" s="46"/>
      <c r="M11" s="13"/>
      <c r="N11" s="15" t="s">
        <v>14</v>
      </c>
      <c r="O11" s="47"/>
      <c r="P11" s="56"/>
      <c r="Q11" s="15" t="s">
        <v>14</v>
      </c>
      <c r="R11" s="15" t="s">
        <v>14</v>
      </c>
      <c r="S11" s="15" t="s">
        <v>14</v>
      </c>
      <c r="T11" s="13"/>
      <c r="U11" s="15" t="s">
        <v>14</v>
      </c>
      <c r="V11" s="46"/>
      <c r="W11" s="15" t="s">
        <v>14</v>
      </c>
      <c r="X11" s="15" t="s">
        <v>14</v>
      </c>
      <c r="Y11" s="13"/>
      <c r="Z11" s="13"/>
      <c r="AA11" s="13"/>
      <c r="AB11" s="13"/>
      <c r="AC11" s="13"/>
      <c r="AD11" s="13"/>
      <c r="AE11" s="13"/>
      <c r="AF11" s="47"/>
      <c r="AG11" s="47"/>
      <c r="AH11" s="47"/>
      <c r="AI11" s="48"/>
    </row>
    <row r="12" ht="14.25" customHeight="1">
      <c r="A12" s="49"/>
      <c r="B12" s="57"/>
      <c r="C12" s="58"/>
      <c r="D12" s="59"/>
      <c r="E12" s="60"/>
      <c r="F12" s="53"/>
      <c r="G12" s="61"/>
      <c r="H12" s="62"/>
      <c r="I12" s="62"/>
      <c r="J12" s="53"/>
      <c r="K12" s="53"/>
      <c r="L12" s="63"/>
      <c r="M12" s="53"/>
      <c r="N12" s="24">
        <v>8.0</v>
      </c>
      <c r="O12" s="64"/>
      <c r="P12" s="65"/>
      <c r="Q12" s="24">
        <v>8.0</v>
      </c>
      <c r="R12" s="24">
        <v>8.0</v>
      </c>
      <c r="S12" s="24">
        <v>8.0</v>
      </c>
      <c r="T12" s="53"/>
      <c r="U12" s="24">
        <v>8.0</v>
      </c>
      <c r="V12" s="63"/>
      <c r="W12" s="24">
        <v>8.0</v>
      </c>
      <c r="X12" s="24">
        <v>8.0</v>
      </c>
      <c r="Y12" s="22"/>
      <c r="Z12" s="53"/>
      <c r="AA12" s="53"/>
      <c r="AB12" s="53"/>
      <c r="AC12" s="53"/>
      <c r="AD12" s="53"/>
      <c r="AE12" s="53"/>
      <c r="AF12" s="28">
        <f>SUM(B12:AE12) + AF16</f>
        <v>72</v>
      </c>
      <c r="AG12" s="29">
        <v>150.0</v>
      </c>
      <c r="AH12" s="28">
        <f>PRODUCT(AF12,AG12)</f>
        <v>10800</v>
      </c>
      <c r="AI12" s="48"/>
    </row>
    <row r="13" ht="37.5" customHeight="1">
      <c r="A13" s="66" t="s">
        <v>21</v>
      </c>
      <c r="B13" s="67"/>
      <c r="C13" s="68"/>
      <c r="D13" s="69"/>
      <c r="E13" s="54"/>
      <c r="F13" s="22"/>
      <c r="G13" s="70"/>
      <c r="H13" s="55"/>
      <c r="I13" s="55"/>
      <c r="J13" s="22"/>
      <c r="K13" s="22"/>
      <c r="L13" s="46"/>
      <c r="M13" s="22"/>
      <c r="N13" s="22"/>
      <c r="O13" s="15" t="s">
        <v>14</v>
      </c>
      <c r="P13" s="15" t="s">
        <v>14</v>
      </c>
      <c r="Q13" s="22"/>
      <c r="R13" s="22"/>
      <c r="S13" s="22"/>
      <c r="T13" s="22"/>
      <c r="U13" s="22"/>
      <c r="V13" s="15" t="s">
        <v>14</v>
      </c>
      <c r="W13" s="22"/>
      <c r="X13" s="22"/>
      <c r="Y13" s="15" t="s">
        <v>14</v>
      </c>
      <c r="Z13" s="15" t="s">
        <v>14</v>
      </c>
      <c r="AA13" s="71"/>
      <c r="AB13" s="32" t="s">
        <v>16</v>
      </c>
      <c r="AC13" s="22"/>
      <c r="AD13" s="15" t="s">
        <v>14</v>
      </c>
      <c r="AE13" s="15" t="s">
        <v>14</v>
      </c>
      <c r="AF13" s="72"/>
      <c r="AG13" s="29"/>
      <c r="AH13" s="28"/>
      <c r="AI13" s="48"/>
    </row>
    <row r="14" ht="14.25" customHeight="1">
      <c r="A14" s="73"/>
      <c r="B14" s="67"/>
      <c r="C14" s="68"/>
      <c r="D14" s="69"/>
      <c r="E14" s="54"/>
      <c r="F14" s="22"/>
      <c r="G14" s="70"/>
      <c r="H14" s="55"/>
      <c r="I14" s="55"/>
      <c r="J14" s="22"/>
      <c r="K14" s="22"/>
      <c r="L14" s="46"/>
      <c r="M14" s="22"/>
      <c r="N14" s="22"/>
      <c r="O14" s="24">
        <v>8.0</v>
      </c>
      <c r="P14" s="24">
        <v>8.0</v>
      </c>
      <c r="Q14" s="22"/>
      <c r="R14" s="22"/>
      <c r="S14" s="22"/>
      <c r="T14" s="22"/>
      <c r="U14" s="22"/>
      <c r="V14" s="24">
        <v>8.0</v>
      </c>
      <c r="W14" s="22"/>
      <c r="X14" s="22"/>
      <c r="Y14" s="24">
        <v>8.0</v>
      </c>
      <c r="Z14" s="24">
        <v>8.0</v>
      </c>
      <c r="AA14" s="71"/>
      <c r="AB14" s="36">
        <v>14.0</v>
      </c>
      <c r="AC14" s="22"/>
      <c r="AD14" s="24">
        <v>8.0</v>
      </c>
      <c r="AE14" s="24">
        <v>8.0</v>
      </c>
      <c r="AF14" s="28">
        <f>SUM(B14:AE14) + AF20</f>
        <v>70</v>
      </c>
      <c r="AG14" s="29">
        <v>150.0</v>
      </c>
      <c r="AH14" s="28">
        <f>PRODUCT(AF14,AG14)</f>
        <v>10500</v>
      </c>
      <c r="AI14" s="48"/>
    </row>
    <row r="15" ht="23.25" customHeight="1">
      <c r="A15" s="74"/>
      <c r="B15" s="75"/>
      <c r="C15" s="76"/>
      <c r="D15" s="77"/>
      <c r="E15" s="76"/>
      <c r="F15" s="78"/>
      <c r="G15" s="79"/>
      <c r="H15" s="79"/>
      <c r="I15" s="75"/>
      <c r="J15" s="80"/>
      <c r="K15" s="81"/>
      <c r="L15" s="82"/>
      <c r="M15" s="83"/>
      <c r="N15" s="83"/>
      <c r="O15" s="83"/>
      <c r="P15" s="75"/>
      <c r="Q15" s="83"/>
      <c r="R15" s="84"/>
      <c r="S15" s="85"/>
      <c r="T15" s="82"/>
      <c r="U15" s="82"/>
      <c r="V15" s="75"/>
      <c r="W15" s="75"/>
      <c r="X15" s="86"/>
      <c r="Y15" s="81"/>
      <c r="Z15" s="82"/>
      <c r="AA15" s="82"/>
      <c r="AB15" s="82"/>
      <c r="AC15" s="82"/>
      <c r="AD15" s="82"/>
      <c r="AE15" s="87"/>
      <c r="AF15" s="88" t="s">
        <v>22</v>
      </c>
      <c r="AG15" s="20"/>
      <c r="AH15" s="20"/>
      <c r="AI15" s="20"/>
    </row>
    <row r="16" ht="9.75" customHeight="1">
      <c r="A16" s="74"/>
      <c r="B16" s="89"/>
      <c r="D16" s="90"/>
      <c r="F16" s="91"/>
      <c r="I16" s="89"/>
      <c r="K16" s="20"/>
      <c r="L16" s="20"/>
      <c r="M16" s="92"/>
      <c r="N16" s="92"/>
      <c r="O16" s="92"/>
      <c r="P16" s="89"/>
      <c r="Q16" s="92"/>
      <c r="R16" s="20"/>
      <c r="S16" s="20"/>
      <c r="T16" s="93"/>
      <c r="U16" s="93"/>
      <c r="V16" s="93"/>
      <c r="W16" s="89"/>
      <c r="X16" s="94"/>
      <c r="Y16" s="20"/>
      <c r="Z16" s="20"/>
      <c r="AA16" s="20"/>
      <c r="AB16" s="20"/>
      <c r="AC16" s="20"/>
      <c r="AD16" s="20"/>
      <c r="AE16" s="95"/>
      <c r="AF16" s="96">
        <v>16.0</v>
      </c>
      <c r="AG16" s="20"/>
      <c r="AH16" s="20"/>
      <c r="AI16" s="20"/>
    </row>
    <row r="17">
      <c r="A17" s="97"/>
      <c r="F17" s="91"/>
      <c r="K17" s="94"/>
      <c r="M17" s="92"/>
      <c r="N17" s="92"/>
      <c r="O17" s="92"/>
      <c r="P17" s="92"/>
      <c r="Q17" s="92"/>
      <c r="R17" s="20"/>
      <c r="S17" s="20"/>
      <c r="T17" s="93"/>
      <c r="U17" s="93"/>
      <c r="V17" s="93"/>
      <c r="W17" s="94"/>
      <c r="X17" s="94"/>
      <c r="Y17" s="20"/>
      <c r="Z17" s="20"/>
      <c r="AA17" s="20"/>
      <c r="AB17" s="94"/>
      <c r="AC17" s="98"/>
      <c r="AD17" s="98"/>
      <c r="AE17" s="98"/>
      <c r="AF17" s="20"/>
      <c r="AG17" s="20"/>
      <c r="AH17" s="20"/>
      <c r="AI17" s="20"/>
    </row>
    <row r="18">
      <c r="A18" s="97"/>
      <c r="C18" s="99" t="s">
        <v>23</v>
      </c>
      <c r="D18" s="100"/>
      <c r="E18" s="101"/>
      <c r="F18" s="91"/>
      <c r="K18" s="20"/>
      <c r="L18" s="20"/>
      <c r="M18" s="92"/>
      <c r="N18" s="92"/>
      <c r="O18" s="92"/>
      <c r="P18" s="92"/>
      <c r="Q18" s="92"/>
      <c r="R18" s="20"/>
      <c r="S18" s="20"/>
      <c r="T18" s="93"/>
      <c r="U18" s="93"/>
      <c r="V18" s="93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</row>
    <row r="19">
      <c r="A19" s="97"/>
      <c r="C19" s="102"/>
      <c r="D19" s="103"/>
      <c r="E19" s="104"/>
      <c r="F19" s="91"/>
      <c r="K19" s="20"/>
      <c r="L19" s="20"/>
      <c r="M19" s="92"/>
      <c r="N19" s="92"/>
      <c r="O19" s="92"/>
      <c r="P19" s="92"/>
      <c r="Q19" s="92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>
      <c r="A20" s="105"/>
      <c r="B20" s="91"/>
      <c r="C20" s="106" t="s">
        <v>24</v>
      </c>
      <c r="D20" s="100"/>
      <c r="E20" s="101"/>
      <c r="F20" s="107"/>
      <c r="G20" s="108"/>
      <c r="H20" s="100"/>
      <c r="I20" s="100"/>
      <c r="J20" s="101"/>
      <c r="K20" s="20"/>
      <c r="L20" s="20"/>
      <c r="M20" s="92"/>
      <c r="N20" s="92"/>
      <c r="O20" s="92"/>
      <c r="P20" s="92"/>
      <c r="Q20" s="92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>
      <c r="A21" s="105"/>
      <c r="B21" s="91"/>
      <c r="C21" s="102"/>
      <c r="D21" s="103"/>
      <c r="E21" s="104"/>
      <c r="F21" s="107"/>
      <c r="G21" s="109"/>
      <c r="J21" s="11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</row>
    <row r="22">
      <c r="A22" s="105"/>
      <c r="B22" s="91"/>
      <c r="C22" s="111" t="s">
        <v>25</v>
      </c>
      <c r="D22" s="100"/>
      <c r="E22" s="101"/>
      <c r="F22" s="20"/>
      <c r="G22" s="109"/>
      <c r="J22" s="11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>
      <c r="A23" s="105"/>
      <c r="B23" s="91"/>
      <c r="C23" s="102"/>
      <c r="D23" s="103"/>
      <c r="E23" s="104"/>
      <c r="F23" s="20"/>
      <c r="G23" s="109"/>
      <c r="J23" s="11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</row>
    <row r="24">
      <c r="A24" s="105"/>
      <c r="C24" s="112" t="s">
        <v>26</v>
      </c>
      <c r="D24" s="100"/>
      <c r="E24" s="101"/>
      <c r="F24" s="20"/>
      <c r="G24" s="102"/>
      <c r="H24" s="103"/>
      <c r="I24" s="103"/>
      <c r="J24" s="104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>
      <c r="A25" s="105"/>
      <c r="B25" s="20"/>
      <c r="C25" s="102"/>
      <c r="D25" s="103"/>
      <c r="E25" s="104"/>
      <c r="F25" s="20"/>
      <c r="G25" s="113" t="s">
        <v>27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</row>
    <row r="26">
      <c r="A26" s="105"/>
      <c r="B26" s="20"/>
      <c r="C26" s="114" t="s">
        <v>28</v>
      </c>
      <c r="D26" s="100"/>
      <c r="E26" s="101"/>
      <c r="F26" s="20"/>
      <c r="G26" s="20"/>
      <c r="H26" s="74"/>
      <c r="I26" s="74"/>
      <c r="J26" s="74"/>
      <c r="K26" s="74"/>
      <c r="L26" s="74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</row>
    <row r="27">
      <c r="A27" s="105"/>
      <c r="B27" s="20"/>
      <c r="C27" s="102"/>
      <c r="D27" s="103"/>
      <c r="E27" s="104"/>
      <c r="F27" s="20"/>
      <c r="G27" s="20"/>
      <c r="H27" s="74"/>
      <c r="I27" s="74"/>
      <c r="J27" s="74"/>
      <c r="K27" s="74"/>
      <c r="L27" s="74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</row>
    <row r="28">
      <c r="A28" s="105"/>
      <c r="B28" s="20"/>
      <c r="C28" s="20"/>
      <c r="D28" s="20"/>
      <c r="E28" s="20"/>
      <c r="F28" s="20"/>
      <c r="G28" s="20"/>
      <c r="H28" s="74"/>
      <c r="I28" s="74"/>
      <c r="J28" s="74"/>
      <c r="K28" s="74"/>
      <c r="L28" s="74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</row>
    <row r="29">
      <c r="A29" s="105"/>
      <c r="B29" s="20"/>
      <c r="C29" s="20"/>
      <c r="D29" s="20"/>
      <c r="E29" s="20"/>
      <c r="F29" s="20"/>
      <c r="G29" s="20"/>
      <c r="H29" s="74"/>
      <c r="I29" s="74"/>
      <c r="J29" s="74"/>
      <c r="K29" s="74"/>
      <c r="L29" s="74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</row>
  </sheetData>
  <mergeCells count="6">
    <mergeCell ref="C18:E19"/>
    <mergeCell ref="C20:E21"/>
    <mergeCell ref="G20:J24"/>
    <mergeCell ref="C22:E23"/>
    <mergeCell ref="C24:E25"/>
    <mergeCell ref="C26:E27"/>
  </mergeCells>
  <conditionalFormatting sqref="B5">
    <cfRule type="colorScale" priority="1">
      <colorScale>
        <cfvo type="min"/>
        <cfvo type="max"/>
        <color rgb="FFFFFF00"/>
        <color rgb="FF00FFFF"/>
      </colorScale>
    </cfRule>
  </conditionalFormatting>
  <conditionalFormatting sqref="K9">
    <cfRule type="notContainsBlanks" dxfId="0" priority="2">
      <formula>LEN(TRIM(K9))&gt;0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5.25"/>
    <col customWidth="1" min="35" max="36" width="13.38"/>
  </cols>
  <sheetData>
    <row r="1">
      <c r="A1" s="1" t="s">
        <v>0</v>
      </c>
      <c r="B1" s="115">
        <v>45778.0</v>
      </c>
      <c r="C1" s="115">
        <v>45779.0</v>
      </c>
      <c r="D1" s="115">
        <v>45780.0</v>
      </c>
      <c r="E1" s="2">
        <v>45781.0</v>
      </c>
      <c r="F1" s="2">
        <v>45782.0</v>
      </c>
      <c r="G1" s="2">
        <v>45783.0</v>
      </c>
      <c r="H1" s="2">
        <v>45784.0</v>
      </c>
      <c r="I1" s="2">
        <v>45785.0</v>
      </c>
      <c r="J1" s="115">
        <v>45786.0</v>
      </c>
      <c r="K1" s="115">
        <v>45787.0</v>
      </c>
      <c r="L1" s="2">
        <v>45788.0</v>
      </c>
      <c r="M1" s="2">
        <v>45789.0</v>
      </c>
      <c r="N1" s="2">
        <v>45790.0</v>
      </c>
      <c r="O1" s="2">
        <v>45791.0</v>
      </c>
      <c r="P1" s="2">
        <v>45792.0</v>
      </c>
      <c r="Q1" s="115">
        <v>45793.0</v>
      </c>
      <c r="R1" s="115">
        <v>45794.0</v>
      </c>
      <c r="S1" s="2">
        <v>45795.0</v>
      </c>
      <c r="T1" s="2">
        <v>45796.0</v>
      </c>
      <c r="U1" s="2">
        <v>45797.0</v>
      </c>
      <c r="V1" s="2">
        <v>45798.0</v>
      </c>
      <c r="W1" s="2">
        <v>45799.0</v>
      </c>
      <c r="X1" s="115">
        <v>45800.0</v>
      </c>
      <c r="Y1" s="115">
        <v>45801.0</v>
      </c>
      <c r="Z1" s="2">
        <v>45802.0</v>
      </c>
      <c r="AA1" s="2">
        <v>45803.0</v>
      </c>
      <c r="AB1" s="2">
        <v>45804.0</v>
      </c>
      <c r="AC1" s="2">
        <v>45805.0</v>
      </c>
      <c r="AD1" s="2">
        <v>45806.0</v>
      </c>
      <c r="AE1" s="115">
        <v>45807.0</v>
      </c>
      <c r="AF1" s="115">
        <v>45808.0</v>
      </c>
      <c r="AG1" s="4" t="s">
        <v>1</v>
      </c>
      <c r="AH1" s="4" t="s">
        <v>2</v>
      </c>
      <c r="AI1" s="4" t="s">
        <v>3</v>
      </c>
      <c r="AJ1" s="5"/>
    </row>
    <row r="2" ht="23.25" customHeight="1">
      <c r="A2" s="6" t="s">
        <v>4</v>
      </c>
      <c r="B2" s="116" t="s">
        <v>7</v>
      </c>
      <c r="C2" s="116" t="s">
        <v>8</v>
      </c>
      <c r="D2" s="116" t="s">
        <v>9</v>
      </c>
      <c r="E2" s="7" t="s">
        <v>10</v>
      </c>
      <c r="F2" s="7" t="s">
        <v>11</v>
      </c>
      <c r="G2" s="7" t="s">
        <v>5</v>
      </c>
      <c r="H2" s="7" t="s">
        <v>6</v>
      </c>
      <c r="I2" s="7" t="s">
        <v>7</v>
      </c>
      <c r="J2" s="116" t="s">
        <v>8</v>
      </c>
      <c r="K2" s="116" t="s">
        <v>9</v>
      </c>
      <c r="L2" s="7" t="s">
        <v>10</v>
      </c>
      <c r="M2" s="7" t="s">
        <v>11</v>
      </c>
      <c r="N2" s="7" t="s">
        <v>5</v>
      </c>
      <c r="O2" s="7" t="s">
        <v>6</v>
      </c>
      <c r="P2" s="7" t="s">
        <v>7</v>
      </c>
      <c r="Q2" s="116" t="s">
        <v>8</v>
      </c>
      <c r="R2" s="116" t="s">
        <v>9</v>
      </c>
      <c r="S2" s="7" t="s">
        <v>10</v>
      </c>
      <c r="T2" s="7" t="s">
        <v>11</v>
      </c>
      <c r="U2" s="7" t="s">
        <v>5</v>
      </c>
      <c r="V2" s="7" t="s">
        <v>6</v>
      </c>
      <c r="W2" s="7" t="s">
        <v>7</v>
      </c>
      <c r="X2" s="116" t="s">
        <v>8</v>
      </c>
      <c r="Y2" s="116" t="s">
        <v>9</v>
      </c>
      <c r="Z2" s="7" t="s">
        <v>10</v>
      </c>
      <c r="AA2" s="7" t="s">
        <v>11</v>
      </c>
      <c r="AB2" s="7" t="s">
        <v>5</v>
      </c>
      <c r="AC2" s="7" t="s">
        <v>6</v>
      </c>
      <c r="AD2" s="7" t="s">
        <v>7</v>
      </c>
      <c r="AE2" s="116" t="s">
        <v>8</v>
      </c>
      <c r="AF2" s="116" t="s">
        <v>9</v>
      </c>
      <c r="AG2" s="9"/>
      <c r="AH2" s="10"/>
      <c r="AI2" s="10"/>
      <c r="AJ2" s="11"/>
    </row>
    <row r="3" ht="30.75" customHeight="1">
      <c r="A3" s="12" t="s">
        <v>12</v>
      </c>
      <c r="B3" s="13"/>
      <c r="C3" s="13"/>
      <c r="D3" s="13"/>
      <c r="E3" s="13"/>
      <c r="F3" s="15" t="s">
        <v>14</v>
      </c>
      <c r="G3" s="15" t="s">
        <v>14</v>
      </c>
      <c r="H3" s="13"/>
      <c r="I3" s="15" t="s">
        <v>14</v>
      </c>
      <c r="J3" s="13"/>
      <c r="K3" s="13"/>
      <c r="L3" s="16"/>
      <c r="M3" s="15" t="s">
        <v>14</v>
      </c>
      <c r="N3" s="13"/>
      <c r="O3" s="13"/>
      <c r="P3" s="117"/>
      <c r="Q3" s="118"/>
      <c r="R3" s="16"/>
      <c r="S3" s="13"/>
      <c r="T3" s="13"/>
      <c r="U3" s="16"/>
      <c r="V3" s="16"/>
      <c r="W3" s="13"/>
      <c r="X3" s="13"/>
      <c r="Y3" s="13"/>
      <c r="Z3" s="16"/>
      <c r="AA3" s="15" t="s">
        <v>14</v>
      </c>
      <c r="AB3" s="13"/>
      <c r="AC3" s="16"/>
      <c r="AD3" s="16"/>
      <c r="AE3" s="16"/>
      <c r="AF3" s="119"/>
      <c r="AG3" s="19"/>
      <c r="AH3" s="19"/>
      <c r="AI3" s="19"/>
      <c r="AJ3" s="20"/>
    </row>
    <row r="4" ht="12.75" customHeight="1">
      <c r="A4" s="21"/>
      <c r="B4" s="22"/>
      <c r="C4" s="22"/>
      <c r="D4" s="22"/>
      <c r="E4" s="22"/>
      <c r="F4" s="24">
        <v>8.0</v>
      </c>
      <c r="G4" s="24">
        <v>8.0</v>
      </c>
      <c r="H4" s="22"/>
      <c r="I4" s="24">
        <v>8.0</v>
      </c>
      <c r="J4" s="22"/>
      <c r="K4" s="22"/>
      <c r="L4" s="25"/>
      <c r="M4" s="24">
        <v>8.0</v>
      </c>
      <c r="N4" s="22"/>
      <c r="O4" s="22"/>
      <c r="P4" s="120"/>
      <c r="Q4" s="68"/>
      <c r="R4" s="25"/>
      <c r="S4" s="22"/>
      <c r="T4" s="22"/>
      <c r="U4" s="25"/>
      <c r="V4" s="25"/>
      <c r="W4" s="22"/>
      <c r="X4" s="22"/>
      <c r="Y4" s="22"/>
      <c r="Z4" s="25"/>
      <c r="AA4" s="24">
        <v>8.0</v>
      </c>
      <c r="AB4" s="22"/>
      <c r="AC4" s="25"/>
      <c r="AD4" s="25"/>
      <c r="AE4" s="25"/>
      <c r="AF4" s="25"/>
      <c r="AG4" s="28">
        <f>SUM(B4:AE4) + AG16</f>
        <v>56</v>
      </c>
      <c r="AH4" s="29">
        <v>0.0</v>
      </c>
      <c r="AI4" s="28">
        <f>PRODUCT(AG4,AH4)</f>
        <v>0</v>
      </c>
      <c r="AJ4" s="30"/>
    </row>
    <row r="5" ht="33.0" customHeight="1">
      <c r="A5" s="31" t="s">
        <v>15</v>
      </c>
      <c r="B5" s="32" t="s">
        <v>16</v>
      </c>
      <c r="C5" s="32" t="s">
        <v>16</v>
      </c>
      <c r="D5" s="121"/>
      <c r="E5" s="121"/>
      <c r="F5" s="45"/>
      <c r="G5" s="45"/>
      <c r="H5" s="13"/>
      <c r="I5" s="14" t="s">
        <v>13</v>
      </c>
      <c r="J5" s="32" t="s">
        <v>16</v>
      </c>
      <c r="K5" s="32" t="s">
        <v>16</v>
      </c>
      <c r="L5" s="121"/>
      <c r="M5" s="14" t="s">
        <v>13</v>
      </c>
      <c r="N5" s="14" t="s">
        <v>13</v>
      </c>
      <c r="O5" s="13"/>
      <c r="P5" s="117"/>
      <c r="Q5" s="32" t="s">
        <v>16</v>
      </c>
      <c r="R5" s="32" t="s">
        <v>16</v>
      </c>
      <c r="S5" s="121"/>
      <c r="T5" s="14" t="s">
        <v>13</v>
      </c>
      <c r="U5" s="32" t="s">
        <v>16</v>
      </c>
      <c r="V5" s="32" t="s">
        <v>16</v>
      </c>
      <c r="W5" s="13"/>
      <c r="X5" s="32" t="s">
        <v>16</v>
      </c>
      <c r="Y5" s="15" t="s">
        <v>14</v>
      </c>
      <c r="Z5" s="15" t="s">
        <v>14</v>
      </c>
      <c r="AA5" s="13"/>
      <c r="AB5" s="15" t="s">
        <v>14</v>
      </c>
      <c r="AC5" s="32" t="s">
        <v>16</v>
      </c>
      <c r="AD5" s="15" t="s">
        <v>14</v>
      </c>
      <c r="AE5" s="121"/>
      <c r="AF5" s="32" t="s">
        <v>16</v>
      </c>
      <c r="AG5" s="34"/>
      <c r="AH5" s="34"/>
      <c r="AI5" s="34"/>
      <c r="AJ5" s="35"/>
    </row>
    <row r="6" ht="13.5" customHeight="1">
      <c r="A6" s="21"/>
      <c r="B6" s="36">
        <v>13.0</v>
      </c>
      <c r="C6" s="36">
        <v>13.0</v>
      </c>
      <c r="D6" s="122"/>
      <c r="E6" s="122"/>
      <c r="F6" s="52"/>
      <c r="G6" s="52"/>
      <c r="H6" s="22"/>
      <c r="I6" s="23">
        <v>6.0</v>
      </c>
      <c r="J6" s="36">
        <v>13.0</v>
      </c>
      <c r="K6" s="36">
        <v>13.0</v>
      </c>
      <c r="L6" s="122"/>
      <c r="M6" s="23">
        <v>6.0</v>
      </c>
      <c r="N6" s="23">
        <v>6.0</v>
      </c>
      <c r="O6" s="22"/>
      <c r="P6" s="120"/>
      <c r="Q6" s="36">
        <v>13.0</v>
      </c>
      <c r="R6" s="36">
        <v>13.0</v>
      </c>
      <c r="S6" s="122"/>
      <c r="T6" s="23">
        <v>6.0</v>
      </c>
      <c r="U6" s="36">
        <v>13.0</v>
      </c>
      <c r="V6" s="36">
        <v>13.0</v>
      </c>
      <c r="W6" s="22"/>
      <c r="X6" s="36">
        <v>13.0</v>
      </c>
      <c r="Y6" s="24">
        <v>8.0</v>
      </c>
      <c r="Z6" s="24">
        <v>8.0</v>
      </c>
      <c r="AA6" s="22"/>
      <c r="AB6" s="24">
        <v>8.0</v>
      </c>
      <c r="AC6" s="36">
        <v>13.0</v>
      </c>
      <c r="AD6" s="24">
        <v>8.0</v>
      </c>
      <c r="AE6" s="122"/>
      <c r="AF6" s="36">
        <v>13.0</v>
      </c>
      <c r="AG6" s="28">
        <f>SUM(B6:AE6) + AG16</f>
        <v>202</v>
      </c>
      <c r="AH6" s="29">
        <v>300.0</v>
      </c>
      <c r="AI6" s="28">
        <f>PRODUCT(AG6,AH6)</f>
        <v>60600</v>
      </c>
      <c r="AJ6" s="30"/>
    </row>
    <row r="7" ht="32.25" customHeight="1">
      <c r="A7" s="31" t="s">
        <v>17</v>
      </c>
      <c r="B7" s="121"/>
      <c r="C7" s="32" t="s">
        <v>16</v>
      </c>
      <c r="D7" s="32" t="s">
        <v>16</v>
      </c>
      <c r="E7" s="13"/>
      <c r="F7" s="121"/>
      <c r="G7" s="45"/>
      <c r="H7" s="18"/>
      <c r="I7" s="121"/>
      <c r="J7" s="15" t="s">
        <v>14</v>
      </c>
      <c r="K7" s="32" t="s">
        <v>16</v>
      </c>
      <c r="L7" s="32" t="s">
        <v>16</v>
      </c>
      <c r="M7" s="13"/>
      <c r="N7" s="121"/>
      <c r="O7" s="32" t="s">
        <v>16</v>
      </c>
      <c r="P7" s="123" t="s">
        <v>16</v>
      </c>
      <c r="Q7" s="124"/>
      <c r="R7" s="121"/>
      <c r="S7" s="32" t="s">
        <v>16</v>
      </c>
      <c r="T7" s="32" t="s">
        <v>16</v>
      </c>
      <c r="U7" s="121"/>
      <c r="V7" s="121"/>
      <c r="W7" s="32" t="s">
        <v>16</v>
      </c>
      <c r="X7" s="32" t="s">
        <v>16</v>
      </c>
      <c r="Y7" s="14" t="s">
        <v>13</v>
      </c>
      <c r="Z7" s="121"/>
      <c r="AA7" s="13"/>
      <c r="AB7" s="32" t="s">
        <v>16</v>
      </c>
      <c r="AC7" s="121"/>
      <c r="AD7" s="121"/>
      <c r="AE7" s="32" t="s">
        <v>16</v>
      </c>
      <c r="AF7" s="32" t="s">
        <v>16</v>
      </c>
      <c r="AG7" s="34"/>
      <c r="AH7" s="34"/>
      <c r="AI7" s="34"/>
      <c r="AJ7" s="40" t="s">
        <v>18</v>
      </c>
    </row>
    <row r="8" ht="12.0" customHeight="1">
      <c r="A8" s="21"/>
      <c r="B8" s="122"/>
      <c r="C8" s="36">
        <v>13.0</v>
      </c>
      <c r="D8" s="36">
        <v>13.0</v>
      </c>
      <c r="E8" s="22"/>
      <c r="F8" s="122"/>
      <c r="G8" s="52"/>
      <c r="H8" s="27"/>
      <c r="I8" s="122"/>
      <c r="J8" s="24">
        <v>8.0</v>
      </c>
      <c r="K8" s="36">
        <v>13.0</v>
      </c>
      <c r="L8" s="36">
        <v>13.0</v>
      </c>
      <c r="M8" s="22"/>
      <c r="N8" s="122"/>
      <c r="O8" s="36">
        <v>13.0</v>
      </c>
      <c r="P8" s="125">
        <v>13.0</v>
      </c>
      <c r="Q8" s="71"/>
      <c r="R8" s="122"/>
      <c r="S8" s="36">
        <v>13.0</v>
      </c>
      <c r="T8" s="36">
        <v>13.0</v>
      </c>
      <c r="U8" s="122"/>
      <c r="V8" s="122"/>
      <c r="W8" s="36">
        <v>13.0</v>
      </c>
      <c r="X8" s="36">
        <v>13.0</v>
      </c>
      <c r="Y8" s="23">
        <v>6.0</v>
      </c>
      <c r="Z8" s="122"/>
      <c r="AA8" s="22"/>
      <c r="AB8" s="36">
        <v>13.0</v>
      </c>
      <c r="AC8" s="122"/>
      <c r="AD8" s="122"/>
      <c r="AE8" s="36">
        <v>13.0</v>
      </c>
      <c r="AF8" s="36">
        <v>13.0</v>
      </c>
      <c r="AG8" s="28">
        <f>SUM(B8:AE8) + AG16</f>
        <v>186</v>
      </c>
      <c r="AH8" s="29">
        <v>200.0</v>
      </c>
      <c r="AI8" s="28">
        <f>PRODUCT(AG8,AH8)</f>
        <v>37200</v>
      </c>
      <c r="AJ8" s="30">
        <f>SUM(AG4,AG6,AG8,AG10,AG12,AG14)</f>
        <v>811</v>
      </c>
    </row>
    <row r="9" ht="32.25" customHeight="1">
      <c r="A9" s="31" t="s">
        <v>21</v>
      </c>
      <c r="B9" s="14" t="s">
        <v>13</v>
      </c>
      <c r="C9" s="13"/>
      <c r="D9" s="32" t="s">
        <v>16</v>
      </c>
      <c r="E9" s="32" t="s">
        <v>16</v>
      </c>
      <c r="F9" s="13"/>
      <c r="G9" s="32" t="s">
        <v>16</v>
      </c>
      <c r="H9" s="32" t="s">
        <v>16</v>
      </c>
      <c r="I9" s="32" t="s">
        <v>16</v>
      </c>
      <c r="J9" s="13"/>
      <c r="K9" s="15" t="s">
        <v>14</v>
      </c>
      <c r="L9" s="44"/>
      <c r="M9" s="32" t="s">
        <v>16</v>
      </c>
      <c r="N9" s="32" t="s">
        <v>16</v>
      </c>
      <c r="O9" s="13"/>
      <c r="P9" s="32" t="s">
        <v>16</v>
      </c>
      <c r="Q9" s="13"/>
      <c r="R9" s="15" t="s">
        <v>14</v>
      </c>
      <c r="S9" s="22"/>
      <c r="T9" s="15" t="s">
        <v>14</v>
      </c>
      <c r="U9" s="32" t="s">
        <v>16</v>
      </c>
      <c r="V9" s="32" t="s">
        <v>16</v>
      </c>
      <c r="W9" s="32" t="s">
        <v>16</v>
      </c>
      <c r="X9" s="13"/>
      <c r="Y9" s="15" t="s">
        <v>14</v>
      </c>
      <c r="Z9" s="32" t="s">
        <v>16</v>
      </c>
      <c r="AA9" s="32" t="s">
        <v>16</v>
      </c>
      <c r="AB9" s="121"/>
      <c r="AC9" s="15" t="s">
        <v>14</v>
      </c>
      <c r="AD9" s="32" t="s">
        <v>16</v>
      </c>
      <c r="AE9" s="32" t="s">
        <v>16</v>
      </c>
      <c r="AF9" s="121"/>
      <c r="AG9" s="47"/>
      <c r="AH9" s="47"/>
      <c r="AI9" s="47"/>
      <c r="AJ9" s="48"/>
    </row>
    <row r="10" ht="12.75" customHeight="1">
      <c r="A10" s="49"/>
      <c r="B10" s="23">
        <v>6.0</v>
      </c>
      <c r="C10" s="22"/>
      <c r="D10" s="36">
        <v>13.0</v>
      </c>
      <c r="E10" s="36">
        <v>13.0</v>
      </c>
      <c r="F10" s="22"/>
      <c r="G10" s="36">
        <v>13.0</v>
      </c>
      <c r="H10" s="36">
        <v>13.0</v>
      </c>
      <c r="I10" s="36">
        <v>13.0</v>
      </c>
      <c r="J10" s="22"/>
      <c r="K10" s="24">
        <v>8.0</v>
      </c>
      <c r="L10" s="44"/>
      <c r="M10" s="36">
        <v>13.0</v>
      </c>
      <c r="N10" s="36">
        <v>13.0</v>
      </c>
      <c r="O10" s="22"/>
      <c r="P10" s="36">
        <v>13.0</v>
      </c>
      <c r="Q10" s="22"/>
      <c r="R10" s="24">
        <v>8.0</v>
      </c>
      <c r="S10" s="22"/>
      <c r="T10" s="24">
        <v>8.0</v>
      </c>
      <c r="U10" s="36">
        <v>13.0</v>
      </c>
      <c r="V10" s="36">
        <v>13.0</v>
      </c>
      <c r="W10" s="36">
        <v>13.0</v>
      </c>
      <c r="X10" s="22"/>
      <c r="Y10" s="24">
        <v>8.0</v>
      </c>
      <c r="Z10" s="36">
        <v>13.0</v>
      </c>
      <c r="AA10" s="36">
        <v>13.0</v>
      </c>
      <c r="AB10" s="122"/>
      <c r="AC10" s="24">
        <v>8.0</v>
      </c>
      <c r="AD10" s="36">
        <v>13.0</v>
      </c>
      <c r="AE10" s="36">
        <v>13.0</v>
      </c>
      <c r="AF10" s="122"/>
      <c r="AG10" s="28">
        <f>SUM(B10:AE10) + AG16</f>
        <v>257</v>
      </c>
      <c r="AH10" s="29">
        <v>150.0</v>
      </c>
      <c r="AI10" s="28">
        <f>PRODUCT(AG10,AH10)</f>
        <v>38550</v>
      </c>
      <c r="AJ10" s="48"/>
    </row>
    <row r="11" ht="34.5" customHeight="1">
      <c r="A11" s="31" t="s">
        <v>19</v>
      </c>
      <c r="B11" s="15" t="s">
        <v>14</v>
      </c>
      <c r="C11" s="45"/>
      <c r="D11" s="45"/>
      <c r="E11" s="32" t="s">
        <v>16</v>
      </c>
      <c r="F11" s="32" t="s">
        <v>16</v>
      </c>
      <c r="G11" s="54"/>
      <c r="H11" s="32" t="s">
        <v>16</v>
      </c>
      <c r="I11" s="45"/>
      <c r="J11" s="13"/>
      <c r="K11" s="45"/>
      <c r="L11" s="22"/>
      <c r="M11" s="45"/>
      <c r="N11" s="15" t="s">
        <v>14</v>
      </c>
      <c r="O11" s="32" t="s">
        <v>16</v>
      </c>
      <c r="P11" s="126"/>
      <c r="Q11" s="32" t="s">
        <v>16</v>
      </c>
      <c r="R11" s="45"/>
      <c r="S11" s="13"/>
      <c r="T11" s="45"/>
      <c r="U11" s="22"/>
      <c r="V11" s="121"/>
      <c r="W11" s="13"/>
      <c r="X11" s="13"/>
      <c r="Y11" s="13"/>
      <c r="Z11" s="13"/>
      <c r="AA11" s="13"/>
      <c r="AB11" s="121"/>
      <c r="AC11" s="121"/>
      <c r="AD11" s="13"/>
      <c r="AE11" s="121"/>
      <c r="AF11" s="45"/>
      <c r="AG11" s="47"/>
      <c r="AH11" s="47"/>
      <c r="AI11" s="47"/>
      <c r="AJ11" s="48"/>
    </row>
    <row r="12" ht="14.25" customHeight="1">
      <c r="A12" s="49"/>
      <c r="B12" s="24">
        <v>8.0</v>
      </c>
      <c r="C12" s="52"/>
      <c r="D12" s="52"/>
      <c r="E12" s="36">
        <v>13.0</v>
      </c>
      <c r="F12" s="36">
        <v>13.0</v>
      </c>
      <c r="G12" s="61"/>
      <c r="H12" s="36">
        <v>13.0</v>
      </c>
      <c r="I12" s="52"/>
      <c r="J12" s="53"/>
      <c r="K12" s="52"/>
      <c r="L12" s="22"/>
      <c r="M12" s="52"/>
      <c r="N12" s="24">
        <v>8.0</v>
      </c>
      <c r="O12" s="36">
        <v>13.0</v>
      </c>
      <c r="P12" s="127"/>
      <c r="Q12" s="36">
        <v>13.0</v>
      </c>
      <c r="R12" s="52"/>
      <c r="S12" s="22"/>
      <c r="T12" s="52"/>
      <c r="U12" s="22"/>
      <c r="V12" s="122"/>
      <c r="W12" s="22"/>
      <c r="X12" s="22"/>
      <c r="Y12" s="22"/>
      <c r="Z12" s="53"/>
      <c r="AA12" s="22"/>
      <c r="AB12" s="122"/>
      <c r="AC12" s="122"/>
      <c r="AD12" s="53"/>
      <c r="AE12" s="122"/>
      <c r="AF12" s="52"/>
      <c r="AG12" s="28">
        <f>SUM(B12:AE12) + AG16</f>
        <v>97</v>
      </c>
      <c r="AH12" s="29">
        <v>150.0</v>
      </c>
      <c r="AI12" s="28">
        <f>PRODUCT(AG12,AH12)</f>
        <v>14550</v>
      </c>
      <c r="AJ12" s="48"/>
    </row>
    <row r="13" ht="37.5" customHeight="1">
      <c r="A13" s="31"/>
      <c r="B13" s="67"/>
      <c r="C13" s="68"/>
      <c r="D13" s="69"/>
      <c r="E13" s="54"/>
      <c r="F13" s="22"/>
      <c r="G13" s="70"/>
      <c r="H13" s="55"/>
      <c r="I13" s="32" t="s">
        <v>16</v>
      </c>
      <c r="J13" s="22"/>
      <c r="K13" s="22"/>
      <c r="L13" s="22"/>
      <c r="M13" s="22"/>
      <c r="N13" s="22"/>
      <c r="O13" s="13"/>
      <c r="P13" s="13"/>
      <c r="Q13" s="128"/>
      <c r="R13" s="22"/>
      <c r="S13" s="22"/>
      <c r="T13" s="13"/>
      <c r="U13" s="13"/>
      <c r="V13" s="13"/>
      <c r="W13" s="13"/>
      <c r="X13" s="13"/>
      <c r="Y13" s="13"/>
      <c r="Z13" s="121"/>
      <c r="AA13" s="71"/>
      <c r="AB13" s="121"/>
      <c r="AC13" s="121"/>
      <c r="AD13" s="13"/>
      <c r="AE13" s="13"/>
      <c r="AF13" s="13"/>
      <c r="AG13" s="72"/>
      <c r="AH13" s="29"/>
      <c r="AI13" s="28"/>
      <c r="AJ13" s="48"/>
    </row>
    <row r="14" ht="14.25" customHeight="1">
      <c r="A14" s="73"/>
      <c r="B14" s="67"/>
      <c r="C14" s="68"/>
      <c r="D14" s="69"/>
      <c r="E14" s="54"/>
      <c r="F14" s="22"/>
      <c r="G14" s="70"/>
      <c r="H14" s="55"/>
      <c r="I14" s="36">
        <v>13.0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22"/>
      <c r="AA14" s="71"/>
      <c r="AB14" s="122"/>
      <c r="AC14" s="122"/>
      <c r="AD14" s="22"/>
      <c r="AE14" s="22"/>
      <c r="AF14" s="22"/>
      <c r="AG14" s="28">
        <f>SUM(B14:AE14) + AG18</f>
        <v>13</v>
      </c>
      <c r="AH14" s="29">
        <v>150.0</v>
      </c>
      <c r="AI14" s="28">
        <f>PRODUCT(AG14,AH14)</f>
        <v>1950</v>
      </c>
      <c r="AJ14" s="48"/>
    </row>
    <row r="15" ht="23.25" customHeight="1">
      <c r="A15" s="74"/>
      <c r="B15" s="75"/>
      <c r="C15" s="76"/>
      <c r="D15" s="77"/>
      <c r="E15" s="76"/>
      <c r="F15" s="78"/>
      <c r="G15" s="79"/>
      <c r="H15" s="129" t="s">
        <v>29</v>
      </c>
      <c r="I15" s="75"/>
      <c r="J15" s="80"/>
      <c r="K15" s="81"/>
      <c r="L15" s="82"/>
      <c r="M15" s="83"/>
      <c r="N15" s="83"/>
      <c r="O15" s="130" t="s">
        <v>30</v>
      </c>
      <c r="P15" s="75"/>
      <c r="Q15" s="83"/>
      <c r="R15" s="84"/>
      <c r="S15" s="85"/>
      <c r="T15" s="82"/>
      <c r="U15" s="82"/>
      <c r="V15" s="129" t="s">
        <v>29</v>
      </c>
      <c r="W15" s="75"/>
      <c r="X15" s="86"/>
      <c r="Y15" s="81"/>
      <c r="Z15" s="81" t="s">
        <v>31</v>
      </c>
      <c r="AA15" s="82"/>
      <c r="AB15" s="82"/>
      <c r="AC15" s="130" t="s">
        <v>30</v>
      </c>
      <c r="AD15" s="82"/>
      <c r="AE15" s="87"/>
      <c r="AF15" s="87"/>
      <c r="AG15" s="88" t="s">
        <v>22</v>
      </c>
      <c r="AH15" s="20"/>
      <c r="AI15" s="20"/>
      <c r="AJ15" s="20"/>
    </row>
    <row r="16" ht="9.75" customHeight="1">
      <c r="A16" s="74"/>
      <c r="B16" s="89"/>
      <c r="D16" s="90"/>
      <c r="F16" s="91"/>
      <c r="H16" s="131">
        <v>4.0</v>
      </c>
      <c r="I16" s="89"/>
      <c r="K16" s="20"/>
      <c r="L16" s="20"/>
      <c r="M16" s="92"/>
      <c r="N16" s="92"/>
      <c r="O16" s="92"/>
      <c r="P16" s="89"/>
      <c r="Q16" s="92"/>
      <c r="R16" s="20"/>
      <c r="S16" s="20"/>
      <c r="T16" s="93"/>
      <c r="U16" s="93"/>
      <c r="V16" s="132">
        <v>4.0</v>
      </c>
      <c r="W16" s="89"/>
      <c r="X16" s="94"/>
      <c r="Y16" s="20"/>
      <c r="Z16" s="94" t="s">
        <v>32</v>
      </c>
      <c r="AA16" s="20"/>
      <c r="AB16" s="20"/>
      <c r="AC16" s="20"/>
      <c r="AD16" s="20"/>
      <c r="AE16" s="95"/>
      <c r="AF16" s="95"/>
      <c r="AG16" s="96">
        <v>16.0</v>
      </c>
      <c r="AH16" s="20"/>
      <c r="AI16" s="20"/>
      <c r="AJ16" s="20"/>
    </row>
    <row r="17">
      <c r="A17" s="97"/>
      <c r="F17" s="91"/>
      <c r="H17" s="133"/>
      <c r="K17" s="94"/>
      <c r="M17" s="92"/>
      <c r="N17" s="92"/>
      <c r="O17" s="92"/>
      <c r="P17" s="92"/>
      <c r="Q17" s="92"/>
      <c r="R17" s="20"/>
      <c r="S17" s="20"/>
      <c r="T17" s="93"/>
      <c r="U17" s="93"/>
      <c r="V17" s="130" t="s">
        <v>30</v>
      </c>
      <c r="W17" s="94"/>
      <c r="X17" s="94"/>
      <c r="Y17" s="20"/>
      <c r="Z17" s="20"/>
      <c r="AA17" s="20"/>
      <c r="AB17" s="94"/>
      <c r="AC17" s="98"/>
      <c r="AD17" s="98"/>
      <c r="AE17" s="98"/>
      <c r="AF17" s="98"/>
      <c r="AG17" s="20"/>
      <c r="AH17" s="20"/>
      <c r="AI17" s="20"/>
      <c r="AJ17" s="20"/>
    </row>
    <row r="18">
      <c r="A18" s="97"/>
      <c r="C18" s="99" t="s">
        <v>23</v>
      </c>
      <c r="D18" s="100"/>
      <c r="E18" s="101"/>
      <c r="F18" s="91"/>
      <c r="K18" s="20"/>
      <c r="L18" s="20"/>
      <c r="M18" s="92"/>
      <c r="N18" s="92"/>
      <c r="O18" s="92"/>
      <c r="P18" s="92"/>
      <c r="Q18" s="92"/>
      <c r="R18" s="20"/>
      <c r="S18" s="20"/>
      <c r="T18" s="93"/>
      <c r="U18" s="93"/>
      <c r="V18" s="93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</row>
    <row r="19">
      <c r="A19" s="97"/>
      <c r="C19" s="102"/>
      <c r="D19" s="103"/>
      <c r="E19" s="104"/>
      <c r="F19" s="91"/>
      <c r="K19" s="20"/>
      <c r="L19" s="20"/>
      <c r="M19" s="92"/>
      <c r="N19" s="92"/>
      <c r="O19" s="92"/>
      <c r="P19" s="92"/>
      <c r="Q19" s="92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</row>
    <row r="20">
      <c r="A20" s="105"/>
      <c r="B20" s="91"/>
      <c r="C20" s="106" t="s">
        <v>24</v>
      </c>
      <c r="D20" s="100"/>
      <c r="E20" s="101"/>
      <c r="F20" s="107"/>
      <c r="G20" s="134"/>
      <c r="H20" s="134"/>
      <c r="I20" s="134"/>
      <c r="J20" s="134"/>
      <c r="K20" s="20"/>
      <c r="L20" s="20"/>
      <c r="M20" s="92"/>
      <c r="N20" s="92"/>
      <c r="O20" s="92"/>
      <c r="P20" s="92"/>
      <c r="Q20" s="92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>
      <c r="A21" s="105"/>
      <c r="B21" s="91"/>
      <c r="C21" s="102"/>
      <c r="D21" s="103"/>
      <c r="E21" s="104"/>
      <c r="F21" s="107"/>
      <c r="G21" s="134"/>
      <c r="H21" s="134"/>
      <c r="I21" s="134"/>
      <c r="J21" s="134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</row>
    <row r="22">
      <c r="A22" s="105"/>
      <c r="B22" s="91"/>
      <c r="C22" s="111" t="s">
        <v>25</v>
      </c>
      <c r="D22" s="100"/>
      <c r="E22" s="101"/>
      <c r="F22" s="20"/>
      <c r="G22" s="134"/>
      <c r="H22" s="134"/>
      <c r="I22" s="134"/>
      <c r="J22" s="134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94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</row>
    <row r="23">
      <c r="A23" s="105"/>
      <c r="B23" s="91"/>
      <c r="C23" s="102"/>
      <c r="D23" s="103"/>
      <c r="E23" s="104"/>
      <c r="F23" s="20"/>
      <c r="G23" s="134"/>
      <c r="H23" s="134"/>
      <c r="I23" s="134"/>
      <c r="J23" s="134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</row>
    <row r="24">
      <c r="A24" s="105"/>
      <c r="C24" s="112" t="s">
        <v>26</v>
      </c>
      <c r="D24" s="100"/>
      <c r="E24" s="101"/>
      <c r="F24" s="20"/>
      <c r="G24" s="134"/>
      <c r="H24" s="134"/>
      <c r="I24" s="134"/>
      <c r="J24" s="134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>
      <c r="A25" s="105"/>
      <c r="B25" s="20"/>
      <c r="C25" s="102"/>
      <c r="D25" s="103"/>
      <c r="E25" s="104"/>
      <c r="F25" s="20"/>
      <c r="G25" s="113" t="s">
        <v>27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</row>
    <row r="26">
      <c r="A26" s="105"/>
      <c r="B26" s="20"/>
      <c r="C26" s="114" t="s">
        <v>28</v>
      </c>
      <c r="D26" s="100"/>
      <c r="E26" s="101"/>
      <c r="F26" s="20"/>
      <c r="G26" s="20"/>
      <c r="H26" s="74"/>
      <c r="I26" s="74"/>
      <c r="J26" s="74"/>
      <c r="K26" s="74"/>
      <c r="L26" s="74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</row>
    <row r="27">
      <c r="A27" s="105"/>
      <c r="B27" s="20"/>
      <c r="C27" s="102"/>
      <c r="D27" s="103"/>
      <c r="E27" s="104"/>
      <c r="F27" s="20"/>
      <c r="G27" s="20"/>
      <c r="H27" s="74"/>
      <c r="I27" s="74"/>
      <c r="J27" s="74"/>
      <c r="K27" s="74"/>
      <c r="L27" s="74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</row>
    <row r="28">
      <c r="A28" s="105"/>
      <c r="B28" s="20"/>
      <c r="C28" s="20"/>
      <c r="D28" s="20"/>
      <c r="E28" s="20"/>
      <c r="F28" s="20"/>
      <c r="G28" s="20"/>
      <c r="H28" s="74"/>
      <c r="I28" s="74"/>
      <c r="J28" s="74"/>
      <c r="K28" s="74"/>
      <c r="L28" s="74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</row>
    <row r="29">
      <c r="A29" s="105"/>
      <c r="B29" s="20"/>
      <c r="C29" s="20"/>
      <c r="D29" s="20"/>
      <c r="E29" s="20"/>
      <c r="F29" s="20"/>
      <c r="G29" s="20"/>
      <c r="H29" s="74"/>
      <c r="I29" s="74"/>
      <c r="J29" s="74"/>
      <c r="K29" s="74"/>
      <c r="L29" s="74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</row>
  </sheetData>
  <mergeCells count="5">
    <mergeCell ref="C18:E19"/>
    <mergeCell ref="C20:E21"/>
    <mergeCell ref="C22:E23"/>
    <mergeCell ref="C24:E25"/>
    <mergeCell ref="C26:E27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5.25"/>
    <col customWidth="1" min="34" max="35" width="13.38"/>
  </cols>
  <sheetData>
    <row r="1">
      <c r="A1" s="1" t="s">
        <v>0</v>
      </c>
      <c r="B1" s="2">
        <v>46174.0</v>
      </c>
      <c r="C1" s="2">
        <v>46175.0</v>
      </c>
      <c r="D1" s="2">
        <v>46176.0</v>
      </c>
      <c r="E1" s="2">
        <v>46177.0</v>
      </c>
      <c r="F1" s="2">
        <v>46178.0</v>
      </c>
      <c r="G1" s="2">
        <v>46179.0</v>
      </c>
      <c r="H1" s="2">
        <v>46180.0</v>
      </c>
      <c r="I1" s="2">
        <v>46181.0</v>
      </c>
      <c r="J1" s="2">
        <v>46182.0</v>
      </c>
      <c r="K1" s="2">
        <v>46183.0</v>
      </c>
      <c r="L1" s="2">
        <v>46184.0</v>
      </c>
      <c r="M1" s="2">
        <v>46185.0</v>
      </c>
      <c r="N1" s="2">
        <v>46186.0</v>
      </c>
      <c r="O1" s="2">
        <v>46187.0</v>
      </c>
      <c r="P1" s="2">
        <v>46188.0</v>
      </c>
      <c r="Q1" s="2">
        <v>46189.0</v>
      </c>
      <c r="R1" s="2">
        <v>46190.0</v>
      </c>
      <c r="S1" s="2">
        <v>46191.0</v>
      </c>
      <c r="T1" s="2">
        <v>46192.0</v>
      </c>
      <c r="U1" s="2">
        <v>46193.0</v>
      </c>
      <c r="V1" s="2">
        <v>46194.0</v>
      </c>
      <c r="W1" s="2">
        <v>46195.0</v>
      </c>
      <c r="X1" s="2">
        <v>46196.0</v>
      </c>
      <c r="Y1" s="2">
        <v>46197.0</v>
      </c>
      <c r="Z1" s="2">
        <v>46198.0</v>
      </c>
      <c r="AA1" s="2">
        <v>46199.0</v>
      </c>
      <c r="AB1" s="2">
        <v>46200.0</v>
      </c>
      <c r="AC1" s="2">
        <v>46201.0</v>
      </c>
      <c r="AD1" s="2">
        <v>46202.0</v>
      </c>
      <c r="AE1" s="2">
        <v>46203.0</v>
      </c>
      <c r="AF1" s="4" t="s">
        <v>1</v>
      </c>
      <c r="AG1" s="4" t="s">
        <v>2</v>
      </c>
      <c r="AH1" s="4" t="s">
        <v>3</v>
      </c>
      <c r="AI1" s="5"/>
    </row>
    <row r="2" ht="23.25" customHeight="1">
      <c r="A2" s="6" t="s">
        <v>4</v>
      </c>
      <c r="B2" s="7" t="s">
        <v>10</v>
      </c>
      <c r="C2" s="7" t="s">
        <v>11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9</v>
      </c>
      <c r="P2" s="7" t="s">
        <v>10</v>
      </c>
      <c r="Q2" s="7" t="s">
        <v>11</v>
      </c>
      <c r="R2" s="7" t="s">
        <v>5</v>
      </c>
      <c r="S2" s="7" t="s">
        <v>6</v>
      </c>
      <c r="T2" s="7" t="s">
        <v>7</v>
      </c>
      <c r="U2" s="7" t="s">
        <v>8</v>
      </c>
      <c r="V2" s="7" t="s">
        <v>9</v>
      </c>
      <c r="W2" s="7" t="s">
        <v>10</v>
      </c>
      <c r="X2" s="7" t="s">
        <v>11</v>
      </c>
      <c r="Y2" s="7" t="s">
        <v>5</v>
      </c>
      <c r="Z2" s="7" t="s">
        <v>6</v>
      </c>
      <c r="AA2" s="7" t="s">
        <v>7</v>
      </c>
      <c r="AB2" s="7" t="s">
        <v>8</v>
      </c>
      <c r="AC2" s="7" t="s">
        <v>9</v>
      </c>
      <c r="AD2" s="7" t="s">
        <v>10</v>
      </c>
      <c r="AE2" s="7" t="s">
        <v>11</v>
      </c>
      <c r="AF2" s="9"/>
      <c r="AG2" s="10"/>
      <c r="AH2" s="10"/>
      <c r="AI2" s="11"/>
    </row>
    <row r="3" ht="30.75" customHeight="1">
      <c r="A3" s="12" t="s">
        <v>12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6"/>
      <c r="M3" s="13"/>
      <c r="N3" s="13"/>
      <c r="O3" s="13"/>
      <c r="P3" s="117"/>
      <c r="Q3" s="118"/>
      <c r="R3" s="16"/>
      <c r="S3" s="13"/>
      <c r="T3" s="13"/>
      <c r="U3" s="16"/>
      <c r="V3" s="16"/>
      <c r="W3" s="13"/>
      <c r="X3" s="13"/>
      <c r="Y3" s="13"/>
      <c r="Z3" s="16"/>
      <c r="AA3" s="13"/>
      <c r="AB3" s="13"/>
      <c r="AC3" s="16"/>
      <c r="AD3" s="16"/>
      <c r="AE3" s="16"/>
      <c r="AF3" s="19"/>
      <c r="AG3" s="19"/>
      <c r="AH3" s="19"/>
      <c r="AI3" s="20"/>
    </row>
    <row r="4" ht="12.75" customHeight="1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5"/>
      <c r="M4" s="22"/>
      <c r="N4" s="22"/>
      <c r="O4" s="22"/>
      <c r="P4" s="120"/>
      <c r="Q4" s="68"/>
      <c r="R4" s="25"/>
      <c r="S4" s="22"/>
      <c r="T4" s="22"/>
      <c r="U4" s="25"/>
      <c r="V4" s="25"/>
      <c r="W4" s="22"/>
      <c r="X4" s="22"/>
      <c r="Y4" s="22"/>
      <c r="Z4" s="25"/>
      <c r="AA4" s="22"/>
      <c r="AB4" s="22"/>
      <c r="AC4" s="25"/>
      <c r="AD4" s="25"/>
      <c r="AE4" s="25"/>
      <c r="AF4" s="28">
        <f>SUM(B4:AE4) + AF16</f>
        <v>16</v>
      </c>
      <c r="AG4" s="29">
        <v>0.0</v>
      </c>
      <c r="AH4" s="28">
        <f>PRODUCT(AF4,AG4)</f>
        <v>0</v>
      </c>
      <c r="AI4" s="30"/>
    </row>
    <row r="5" ht="33.0" customHeight="1">
      <c r="A5" s="31" t="s">
        <v>15</v>
      </c>
      <c r="B5" s="121"/>
      <c r="C5" s="32" t="s">
        <v>16</v>
      </c>
      <c r="D5" s="121"/>
      <c r="E5" s="15" t="s">
        <v>14</v>
      </c>
      <c r="F5" s="32" t="s">
        <v>16</v>
      </c>
      <c r="G5" s="32" t="s">
        <v>16</v>
      </c>
      <c r="H5" s="13"/>
      <c r="I5" s="13"/>
      <c r="J5" s="32" t="s">
        <v>16</v>
      </c>
      <c r="K5" s="32" t="s">
        <v>16</v>
      </c>
      <c r="L5" s="39"/>
      <c r="M5" s="13"/>
      <c r="N5" s="32" t="s">
        <v>16</v>
      </c>
      <c r="O5" s="32" t="s">
        <v>16</v>
      </c>
      <c r="P5" s="117"/>
      <c r="Q5" s="39"/>
      <c r="R5" s="39"/>
      <c r="S5" s="39"/>
      <c r="T5" s="13"/>
      <c r="U5" s="15" t="s">
        <v>14</v>
      </c>
      <c r="V5" s="32" t="s">
        <v>16</v>
      </c>
      <c r="W5" s="15" t="s">
        <v>14</v>
      </c>
      <c r="X5" s="13"/>
      <c r="Y5" s="39"/>
      <c r="Z5" s="32" t="s">
        <v>16</v>
      </c>
      <c r="AA5" s="32" t="s">
        <v>16</v>
      </c>
      <c r="AB5" s="13"/>
      <c r="AC5" s="13"/>
      <c r="AD5" s="39"/>
      <c r="AE5" s="32" t="s">
        <v>16</v>
      </c>
      <c r="AF5" s="34"/>
      <c r="AG5" s="34"/>
      <c r="AH5" s="34"/>
      <c r="AI5" s="35"/>
    </row>
    <row r="6" ht="13.5" customHeight="1">
      <c r="A6" s="21"/>
      <c r="B6" s="122"/>
      <c r="C6" s="36">
        <v>13.0</v>
      </c>
      <c r="D6" s="122"/>
      <c r="E6" s="24">
        <v>8.0</v>
      </c>
      <c r="F6" s="36">
        <v>13.0</v>
      </c>
      <c r="G6" s="36">
        <v>13.0</v>
      </c>
      <c r="H6" s="22"/>
      <c r="I6" s="22"/>
      <c r="J6" s="36">
        <v>13.0</v>
      </c>
      <c r="K6" s="36">
        <v>13.0</v>
      </c>
      <c r="L6" s="42"/>
      <c r="M6" s="22"/>
      <c r="N6" s="36">
        <v>13.0</v>
      </c>
      <c r="O6" s="36">
        <v>13.0</v>
      </c>
      <c r="P6" s="120"/>
      <c r="Q6" s="42"/>
      <c r="R6" s="42"/>
      <c r="S6" s="42"/>
      <c r="T6" s="22"/>
      <c r="U6" s="24">
        <v>8.0</v>
      </c>
      <c r="V6" s="36">
        <v>13.0</v>
      </c>
      <c r="W6" s="24">
        <v>8.0</v>
      </c>
      <c r="X6" s="22"/>
      <c r="Y6" s="42"/>
      <c r="Z6" s="36">
        <v>13.0</v>
      </c>
      <c r="AA6" s="36">
        <v>13.0</v>
      </c>
      <c r="AB6" s="22"/>
      <c r="AC6" s="22"/>
      <c r="AD6" s="42"/>
      <c r="AE6" s="36">
        <v>13.0</v>
      </c>
      <c r="AF6" s="28">
        <f>SUM(B6:AE6) + AF16</f>
        <v>183</v>
      </c>
      <c r="AG6" s="29"/>
      <c r="AH6" s="28"/>
      <c r="AI6" s="30"/>
    </row>
    <row r="7" ht="32.25" customHeight="1">
      <c r="A7" s="31" t="s">
        <v>17</v>
      </c>
      <c r="B7" s="121"/>
      <c r="C7" s="121"/>
      <c r="D7" s="32" t="s">
        <v>16</v>
      </c>
      <c r="E7" s="32" t="s">
        <v>16</v>
      </c>
      <c r="F7" s="121"/>
      <c r="G7" s="13"/>
      <c r="H7" s="32" t="s">
        <v>16</v>
      </c>
      <c r="I7" s="32" t="s">
        <v>16</v>
      </c>
      <c r="J7" s="13"/>
      <c r="K7" s="121"/>
      <c r="L7" s="32" t="s">
        <v>16</v>
      </c>
      <c r="M7" s="32" t="s">
        <v>16</v>
      </c>
      <c r="N7" s="121"/>
      <c r="O7" s="121"/>
      <c r="P7" s="32" t="s">
        <v>16</v>
      </c>
      <c r="Q7" s="32" t="s">
        <v>16</v>
      </c>
      <c r="R7" s="121"/>
      <c r="S7" s="121"/>
      <c r="T7" s="32" t="s">
        <v>16</v>
      </c>
      <c r="U7" s="32" t="s">
        <v>16</v>
      </c>
      <c r="V7" s="121"/>
      <c r="W7" s="121"/>
      <c r="X7" s="32" t="s">
        <v>16</v>
      </c>
      <c r="Y7" s="32" t="s">
        <v>16</v>
      </c>
      <c r="Z7" s="121"/>
      <c r="AA7" s="13"/>
      <c r="AB7" s="32" t="s">
        <v>16</v>
      </c>
      <c r="AC7" s="32" t="s">
        <v>16</v>
      </c>
      <c r="AD7" s="121"/>
      <c r="AE7" s="121"/>
      <c r="AF7" s="34"/>
      <c r="AG7" s="34"/>
      <c r="AH7" s="34"/>
      <c r="AI7" s="40" t="s">
        <v>18</v>
      </c>
    </row>
    <row r="8" ht="12.0" customHeight="1">
      <c r="A8" s="21"/>
      <c r="B8" s="122"/>
      <c r="C8" s="122"/>
      <c r="D8" s="36">
        <v>13.0</v>
      </c>
      <c r="E8" s="36">
        <v>13.0</v>
      </c>
      <c r="F8" s="122"/>
      <c r="G8" s="22"/>
      <c r="H8" s="36">
        <v>13.0</v>
      </c>
      <c r="I8" s="36">
        <v>13.0</v>
      </c>
      <c r="J8" s="22"/>
      <c r="K8" s="122"/>
      <c r="L8" s="36">
        <v>13.0</v>
      </c>
      <c r="M8" s="36">
        <v>13.0</v>
      </c>
      <c r="N8" s="122"/>
      <c r="O8" s="122"/>
      <c r="P8" s="36">
        <v>13.0</v>
      </c>
      <c r="Q8" s="36">
        <v>13.0</v>
      </c>
      <c r="R8" s="122"/>
      <c r="S8" s="122"/>
      <c r="T8" s="36">
        <v>13.0</v>
      </c>
      <c r="U8" s="36">
        <v>13.0</v>
      </c>
      <c r="V8" s="122"/>
      <c r="W8" s="122"/>
      <c r="X8" s="36">
        <v>13.0</v>
      </c>
      <c r="Y8" s="36">
        <v>13.0</v>
      </c>
      <c r="Z8" s="122"/>
      <c r="AA8" s="22"/>
      <c r="AB8" s="36">
        <v>13.0</v>
      </c>
      <c r="AC8" s="36">
        <v>13.0</v>
      </c>
      <c r="AD8" s="122"/>
      <c r="AE8" s="122"/>
      <c r="AF8" s="28">
        <f>SUM(B8:AE8) + AF16</f>
        <v>198</v>
      </c>
      <c r="AG8" s="29"/>
      <c r="AH8" s="28"/>
      <c r="AI8" s="30">
        <f>SUM(AF4,AF6,AF8,AF10,AF12,AF14)</f>
        <v>768</v>
      </c>
    </row>
    <row r="9" ht="32.25" customHeight="1">
      <c r="A9" s="31" t="s">
        <v>21</v>
      </c>
      <c r="B9" s="32" t="s">
        <v>16</v>
      </c>
      <c r="C9" s="39"/>
      <c r="D9" s="15" t="s">
        <v>14</v>
      </c>
      <c r="E9" s="121"/>
      <c r="F9" s="15" t="s">
        <v>14</v>
      </c>
      <c r="G9" s="32" t="s">
        <v>16</v>
      </c>
      <c r="H9" s="32" t="s">
        <v>16</v>
      </c>
      <c r="I9" s="121"/>
      <c r="J9" s="39"/>
      <c r="K9" s="15" t="s">
        <v>14</v>
      </c>
      <c r="L9" s="22"/>
      <c r="M9" s="15" t="s">
        <v>14</v>
      </c>
      <c r="N9" s="32" t="s">
        <v>16</v>
      </c>
      <c r="O9" s="32" t="s">
        <v>16</v>
      </c>
      <c r="P9" s="121"/>
      <c r="Q9" s="39"/>
      <c r="R9" s="32" t="s">
        <v>16</v>
      </c>
      <c r="S9" s="32" t="s">
        <v>16</v>
      </c>
      <c r="T9" s="13"/>
      <c r="U9" s="39"/>
      <c r="V9" s="32" t="s">
        <v>16</v>
      </c>
      <c r="W9" s="32" t="s">
        <v>16</v>
      </c>
      <c r="X9" s="39"/>
      <c r="Y9" s="13"/>
      <c r="Z9" s="32" t="s">
        <v>16</v>
      </c>
      <c r="AA9" s="32" t="s">
        <v>16</v>
      </c>
      <c r="AB9" s="39"/>
      <c r="AC9" s="13"/>
      <c r="AD9" s="32" t="s">
        <v>16</v>
      </c>
      <c r="AE9" s="32" t="s">
        <v>16</v>
      </c>
      <c r="AF9" s="47"/>
      <c r="AG9" s="47"/>
      <c r="AH9" s="47"/>
      <c r="AI9" s="48"/>
    </row>
    <row r="10" ht="12.75" customHeight="1">
      <c r="A10" s="49"/>
      <c r="B10" s="36">
        <v>13.0</v>
      </c>
      <c r="C10" s="42"/>
      <c r="D10" s="24">
        <v>8.0</v>
      </c>
      <c r="E10" s="122"/>
      <c r="F10" s="24">
        <v>8.0</v>
      </c>
      <c r="G10" s="36">
        <v>13.0</v>
      </c>
      <c r="H10" s="36">
        <v>13.0</v>
      </c>
      <c r="I10" s="122"/>
      <c r="J10" s="42"/>
      <c r="K10" s="24">
        <v>8.0</v>
      </c>
      <c r="L10" s="22"/>
      <c r="M10" s="135">
        <v>8.0</v>
      </c>
      <c r="N10" s="36">
        <v>13.0</v>
      </c>
      <c r="O10" s="36">
        <v>13.0</v>
      </c>
      <c r="P10" s="122"/>
      <c r="Q10" s="42"/>
      <c r="R10" s="36">
        <v>13.0</v>
      </c>
      <c r="S10" s="36">
        <v>13.0</v>
      </c>
      <c r="T10" s="22"/>
      <c r="U10" s="42"/>
      <c r="V10" s="36">
        <v>13.0</v>
      </c>
      <c r="W10" s="36">
        <v>13.0</v>
      </c>
      <c r="X10" s="42"/>
      <c r="Y10" s="22"/>
      <c r="Z10" s="36">
        <v>13.0</v>
      </c>
      <c r="AA10" s="36">
        <v>13.0</v>
      </c>
      <c r="AB10" s="42"/>
      <c r="AC10" s="22"/>
      <c r="AD10" s="36">
        <v>13.0</v>
      </c>
      <c r="AE10" s="36">
        <v>13.0</v>
      </c>
      <c r="AF10" s="28">
        <f>SUM(B10:AE10) + AF16</f>
        <v>217</v>
      </c>
      <c r="AG10" s="29"/>
      <c r="AH10" s="28"/>
      <c r="AI10" s="48"/>
    </row>
    <row r="11" ht="34.5" customHeight="1">
      <c r="A11" s="31" t="s">
        <v>33</v>
      </c>
      <c r="B11" s="13"/>
      <c r="C11" s="13"/>
      <c r="D11" s="13"/>
      <c r="E11" s="121"/>
      <c r="F11" s="121"/>
      <c r="G11" s="54"/>
      <c r="H11" s="121"/>
      <c r="I11" s="13"/>
      <c r="J11" s="13"/>
      <c r="K11" s="13"/>
      <c r="L11" s="22"/>
      <c r="M11" s="13"/>
      <c r="N11" s="13"/>
      <c r="O11" s="121"/>
      <c r="P11" s="126"/>
      <c r="Q11" s="121"/>
      <c r="R11" s="13"/>
      <c r="S11" s="13"/>
      <c r="T11" s="13"/>
      <c r="U11" s="22"/>
      <c r="V11" s="121"/>
      <c r="W11" s="14" t="s">
        <v>13</v>
      </c>
      <c r="X11" s="13"/>
      <c r="Y11" s="13"/>
      <c r="Z11" s="15" t="s">
        <v>14</v>
      </c>
      <c r="AA11" s="13"/>
      <c r="AB11" s="15" t="s">
        <v>14</v>
      </c>
      <c r="AC11" s="15" t="s">
        <v>14</v>
      </c>
      <c r="AD11" s="32" t="s">
        <v>16</v>
      </c>
      <c r="AE11" s="121"/>
      <c r="AF11" s="47"/>
      <c r="AG11" s="47"/>
      <c r="AH11" s="47"/>
      <c r="AI11" s="48"/>
    </row>
    <row r="12" ht="14.25" customHeight="1">
      <c r="A12" s="49"/>
      <c r="B12" s="22"/>
      <c r="C12" s="22"/>
      <c r="D12" s="22"/>
      <c r="E12" s="122"/>
      <c r="F12" s="122"/>
      <c r="G12" s="61"/>
      <c r="H12" s="122"/>
      <c r="I12" s="22"/>
      <c r="J12" s="53"/>
      <c r="K12" s="22"/>
      <c r="L12" s="22"/>
      <c r="M12" s="22"/>
      <c r="N12" s="22"/>
      <c r="O12" s="122"/>
      <c r="P12" s="127"/>
      <c r="Q12" s="122"/>
      <c r="R12" s="22"/>
      <c r="S12" s="22"/>
      <c r="T12" s="22"/>
      <c r="U12" s="22"/>
      <c r="V12" s="122"/>
      <c r="W12" s="23" t="s">
        <v>34</v>
      </c>
      <c r="X12" s="22"/>
      <c r="Y12" s="22"/>
      <c r="Z12" s="24" t="s">
        <v>34</v>
      </c>
      <c r="AA12" s="22"/>
      <c r="AB12" s="24" t="s">
        <v>34</v>
      </c>
      <c r="AC12" s="24" t="s">
        <v>35</v>
      </c>
      <c r="AD12" s="36" t="s">
        <v>35</v>
      </c>
      <c r="AE12" s="122"/>
      <c r="AF12" s="28">
        <f>SUM(B12:AE12) + AF16</f>
        <v>16</v>
      </c>
      <c r="AG12" s="29"/>
      <c r="AH12" s="28"/>
      <c r="AI12" s="48"/>
    </row>
    <row r="13" ht="37.5" customHeight="1">
      <c r="A13" s="31" t="s">
        <v>36</v>
      </c>
      <c r="B13" s="75"/>
      <c r="C13" s="76"/>
      <c r="D13" s="77"/>
      <c r="E13" s="54"/>
      <c r="F13" s="22"/>
      <c r="G13" s="70"/>
      <c r="H13" s="55"/>
      <c r="I13" s="55"/>
      <c r="J13" s="136"/>
      <c r="K13" s="22"/>
      <c r="L13" s="32" t="s">
        <v>16</v>
      </c>
      <c r="M13" s="32" t="s">
        <v>16</v>
      </c>
      <c r="N13" s="13"/>
      <c r="O13" s="13"/>
      <c r="P13" s="32" t="s">
        <v>16</v>
      </c>
      <c r="Q13" s="32" t="s">
        <v>16</v>
      </c>
      <c r="R13" s="15" t="s">
        <v>14</v>
      </c>
      <c r="S13" s="13"/>
      <c r="T13" s="32" t="s">
        <v>16</v>
      </c>
      <c r="U13" s="32" t="s">
        <v>16</v>
      </c>
      <c r="V13" s="13"/>
      <c r="W13" s="13"/>
      <c r="X13" s="32" t="s">
        <v>16</v>
      </c>
      <c r="Y13" s="32" t="s">
        <v>16</v>
      </c>
      <c r="Z13" s="13"/>
      <c r="AA13" s="71"/>
      <c r="AB13" s="32" t="s">
        <v>16</v>
      </c>
      <c r="AC13" s="32" t="s">
        <v>16</v>
      </c>
      <c r="AD13" s="13"/>
      <c r="AE13" s="13"/>
      <c r="AF13" s="72"/>
      <c r="AG13" s="29"/>
      <c r="AH13" s="28"/>
      <c r="AI13" s="48"/>
    </row>
    <row r="14" ht="14.25" customHeight="1">
      <c r="A14" s="73"/>
      <c r="B14" s="89"/>
      <c r="D14" s="90"/>
      <c r="E14" s="54"/>
      <c r="F14" s="22"/>
      <c r="G14" s="70"/>
      <c r="H14" s="55"/>
      <c r="I14" s="55"/>
      <c r="J14" s="136"/>
      <c r="K14" s="22"/>
      <c r="L14" s="36">
        <v>13.0</v>
      </c>
      <c r="M14" s="36">
        <v>13.0</v>
      </c>
      <c r="N14" s="22"/>
      <c r="O14" s="22"/>
      <c r="P14" s="36">
        <v>13.0</v>
      </c>
      <c r="Q14" s="36">
        <v>13.0</v>
      </c>
      <c r="R14" s="24">
        <v>8.0</v>
      </c>
      <c r="S14" s="22"/>
      <c r="T14" s="36">
        <v>13.0</v>
      </c>
      <c r="U14" s="36">
        <v>13.0</v>
      </c>
      <c r="V14" s="53"/>
      <c r="W14" s="22"/>
      <c r="X14" s="36">
        <v>13.0</v>
      </c>
      <c r="Y14" s="36">
        <v>13.0</v>
      </c>
      <c r="Z14" s="22"/>
      <c r="AA14" s="71"/>
      <c r="AB14" s="36">
        <v>13.0</v>
      </c>
      <c r="AC14" s="36">
        <v>13.0</v>
      </c>
      <c r="AD14" s="53"/>
      <c r="AE14" s="53"/>
      <c r="AF14" s="28">
        <f>SUM(B14:AE14) + AF18</f>
        <v>138</v>
      </c>
      <c r="AG14" s="29"/>
      <c r="AH14" s="28"/>
      <c r="AI14" s="48"/>
    </row>
    <row r="15" ht="23.25" customHeight="1">
      <c r="A15" s="74"/>
      <c r="B15" s="75"/>
      <c r="C15" s="76"/>
      <c r="D15" s="77"/>
      <c r="E15" s="137" t="s">
        <v>37</v>
      </c>
      <c r="F15" s="78"/>
      <c r="G15" s="79"/>
      <c r="H15" s="133"/>
      <c r="I15" s="75"/>
      <c r="J15" s="80"/>
      <c r="K15" s="81"/>
      <c r="L15" s="137" t="s">
        <v>37</v>
      </c>
      <c r="M15" s="83"/>
      <c r="N15" s="83"/>
      <c r="O15" s="133"/>
      <c r="P15" s="75"/>
      <c r="Q15" s="83"/>
      <c r="R15" s="84"/>
      <c r="S15" s="84"/>
      <c r="T15" s="82"/>
      <c r="U15" s="82"/>
      <c r="V15" s="138"/>
      <c r="W15" s="75"/>
      <c r="X15" s="86"/>
      <c r="Y15" s="81"/>
      <c r="Z15" s="137" t="s">
        <v>37</v>
      </c>
      <c r="AA15" s="82"/>
      <c r="AB15" s="82"/>
      <c r="AC15" s="133"/>
      <c r="AD15" s="82"/>
      <c r="AE15" s="87"/>
      <c r="AF15" s="88" t="s">
        <v>22</v>
      </c>
      <c r="AG15" s="20"/>
      <c r="AH15" s="20"/>
      <c r="AI15" s="20"/>
    </row>
    <row r="16" ht="9.75" customHeight="1">
      <c r="A16" s="74"/>
      <c r="B16" s="89"/>
      <c r="D16" s="90"/>
      <c r="F16" s="91"/>
      <c r="I16" s="89"/>
      <c r="K16" s="20"/>
      <c r="L16" s="20"/>
      <c r="M16" s="92"/>
      <c r="N16" s="92"/>
      <c r="O16" s="92"/>
      <c r="P16" s="89"/>
      <c r="Q16" s="92"/>
      <c r="R16" s="20"/>
      <c r="S16" s="20"/>
      <c r="T16" s="93"/>
      <c r="U16" s="93"/>
      <c r="V16" s="93"/>
      <c r="W16" s="89"/>
      <c r="X16" s="94"/>
      <c r="Y16" s="20"/>
      <c r="Z16" s="94"/>
      <c r="AA16" s="20"/>
      <c r="AB16" s="20"/>
      <c r="AC16" s="20"/>
      <c r="AD16" s="20"/>
      <c r="AE16" s="95"/>
      <c r="AF16" s="96">
        <v>16.0</v>
      </c>
      <c r="AG16" s="20"/>
      <c r="AH16" s="20"/>
      <c r="AI16" s="20"/>
    </row>
    <row r="17">
      <c r="A17" s="97"/>
      <c r="F17" s="91"/>
      <c r="H17" s="133"/>
      <c r="K17" s="94"/>
      <c r="M17" s="92"/>
      <c r="N17" s="92"/>
      <c r="O17" s="92"/>
      <c r="P17" s="92"/>
      <c r="Q17" s="92"/>
      <c r="R17" s="20"/>
      <c r="S17" s="20"/>
      <c r="T17" s="93"/>
      <c r="U17" s="93"/>
      <c r="V17" s="133"/>
      <c r="W17" s="94"/>
      <c r="X17" s="94"/>
      <c r="Y17" s="20"/>
      <c r="Z17" s="20"/>
      <c r="AA17" s="20"/>
      <c r="AB17" s="94"/>
      <c r="AC17" s="98"/>
      <c r="AD17" s="98"/>
      <c r="AE17" s="98"/>
      <c r="AF17" s="20"/>
      <c r="AG17" s="20"/>
      <c r="AH17" s="20"/>
      <c r="AI17" s="20"/>
    </row>
    <row r="18">
      <c r="A18" s="97"/>
      <c r="C18" s="99" t="s">
        <v>23</v>
      </c>
      <c r="D18" s="100"/>
      <c r="E18" s="101"/>
      <c r="F18" s="91"/>
      <c r="K18" s="20"/>
      <c r="L18" s="20"/>
      <c r="M18" s="92"/>
      <c r="N18" s="92"/>
      <c r="O18" s="92"/>
      <c r="P18" s="92"/>
      <c r="Q18" s="92"/>
      <c r="R18" s="20"/>
      <c r="S18" s="20"/>
      <c r="T18" s="93"/>
      <c r="U18" s="93"/>
      <c r="V18" s="93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</row>
    <row r="19">
      <c r="A19" s="97"/>
      <c r="C19" s="102"/>
      <c r="D19" s="103"/>
      <c r="E19" s="104"/>
      <c r="F19" s="91"/>
      <c r="K19" s="20"/>
      <c r="L19" s="20"/>
      <c r="M19" s="92"/>
      <c r="N19" s="92"/>
      <c r="O19" s="92"/>
      <c r="P19" s="92"/>
      <c r="Q19" s="92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>
      <c r="A20" s="105"/>
      <c r="B20" s="91"/>
      <c r="C20" s="106" t="s">
        <v>24</v>
      </c>
      <c r="D20" s="100"/>
      <c r="E20" s="101"/>
      <c r="F20" s="107"/>
      <c r="G20" s="134"/>
      <c r="H20" s="134"/>
      <c r="I20" s="134"/>
      <c r="J20" s="134"/>
      <c r="K20" s="20"/>
      <c r="L20" s="20"/>
      <c r="M20" s="92"/>
      <c r="N20" s="92"/>
      <c r="O20" s="92"/>
      <c r="P20" s="92"/>
      <c r="Q20" s="92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>
      <c r="A21" s="105"/>
      <c r="B21" s="91"/>
      <c r="C21" s="102"/>
      <c r="D21" s="103"/>
      <c r="E21" s="104"/>
      <c r="F21" s="107"/>
      <c r="G21" s="134"/>
      <c r="H21" s="134"/>
      <c r="I21" s="134"/>
      <c r="J21" s="134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</row>
    <row r="22">
      <c r="A22" s="105"/>
      <c r="B22" s="91"/>
      <c r="C22" s="111" t="s">
        <v>25</v>
      </c>
      <c r="D22" s="100"/>
      <c r="E22" s="101"/>
      <c r="F22" s="20"/>
      <c r="G22" s="134"/>
      <c r="H22" s="134"/>
      <c r="I22" s="134"/>
      <c r="J22" s="134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94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>
      <c r="A23" s="105"/>
      <c r="B23" s="91"/>
      <c r="C23" s="102"/>
      <c r="D23" s="103"/>
      <c r="E23" s="104"/>
      <c r="F23" s="20"/>
      <c r="G23" s="134"/>
      <c r="H23" s="134"/>
      <c r="I23" s="134"/>
      <c r="J23" s="134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</row>
    <row r="24">
      <c r="A24" s="105"/>
      <c r="C24" s="112" t="s">
        <v>26</v>
      </c>
      <c r="D24" s="100"/>
      <c r="E24" s="101"/>
      <c r="F24" s="20"/>
      <c r="G24" s="134"/>
      <c r="H24" s="134"/>
      <c r="I24" s="134"/>
      <c r="J24" s="134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>
      <c r="A25" s="105"/>
      <c r="B25" s="20"/>
      <c r="C25" s="102"/>
      <c r="D25" s="103"/>
      <c r="E25" s="104"/>
      <c r="F25" s="20"/>
      <c r="G25" s="113" t="s">
        <v>27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</row>
    <row r="26">
      <c r="A26" s="105"/>
      <c r="B26" s="20"/>
      <c r="C26" s="114" t="s">
        <v>28</v>
      </c>
      <c r="D26" s="100"/>
      <c r="E26" s="101"/>
      <c r="F26" s="20"/>
      <c r="G26" s="20"/>
      <c r="H26" s="74"/>
      <c r="I26" s="74"/>
      <c r="J26" s="74"/>
      <c r="K26" s="74"/>
      <c r="L26" s="74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</row>
    <row r="27">
      <c r="A27" s="105"/>
      <c r="B27" s="20"/>
      <c r="C27" s="102"/>
      <c r="D27" s="103"/>
      <c r="E27" s="104"/>
      <c r="F27" s="20"/>
      <c r="G27" s="20"/>
      <c r="H27" s="74"/>
      <c r="I27" s="74"/>
      <c r="J27" s="74"/>
      <c r="K27" s="74"/>
      <c r="L27" s="74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</row>
    <row r="28">
      <c r="A28" s="105"/>
      <c r="B28" s="20"/>
      <c r="C28" s="20"/>
      <c r="D28" s="20"/>
      <c r="E28" s="20"/>
      <c r="F28" s="20"/>
      <c r="G28" s="20"/>
      <c r="H28" s="74"/>
      <c r="I28" s="74"/>
      <c r="J28" s="74"/>
      <c r="K28" s="74"/>
      <c r="L28" s="74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</row>
    <row r="29">
      <c r="A29" s="105"/>
      <c r="B29" s="20"/>
      <c r="C29" s="20"/>
      <c r="D29" s="20"/>
      <c r="E29" s="20"/>
      <c r="F29" s="20"/>
      <c r="G29" s="20"/>
      <c r="H29" s="74"/>
      <c r="I29" s="74"/>
      <c r="J29" s="74"/>
      <c r="K29" s="74"/>
      <c r="L29" s="74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</row>
  </sheetData>
  <mergeCells count="5">
    <mergeCell ref="C18:E19"/>
    <mergeCell ref="C20:E21"/>
    <mergeCell ref="C22:E23"/>
    <mergeCell ref="C24:E25"/>
    <mergeCell ref="C26:E27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5.25"/>
    <col customWidth="1" min="35" max="35" width="13.38"/>
  </cols>
  <sheetData>
    <row r="1">
      <c r="A1" s="1" t="s">
        <v>0</v>
      </c>
      <c r="B1" s="2">
        <v>46204.0</v>
      </c>
      <c r="C1" s="2">
        <v>46205.0</v>
      </c>
      <c r="D1" s="2">
        <v>46206.0</v>
      </c>
      <c r="E1" s="2">
        <v>46207.0</v>
      </c>
      <c r="F1" s="2">
        <v>46208.0</v>
      </c>
      <c r="G1" s="2">
        <v>46209.0</v>
      </c>
      <c r="H1" s="2">
        <v>46210.0</v>
      </c>
      <c r="I1" s="2">
        <v>46211.0</v>
      </c>
      <c r="J1" s="2">
        <v>46212.0</v>
      </c>
      <c r="K1" s="2">
        <v>46213.0</v>
      </c>
      <c r="L1" s="2">
        <v>46214.0</v>
      </c>
      <c r="M1" s="2">
        <v>46215.0</v>
      </c>
      <c r="N1" s="2">
        <v>46216.0</v>
      </c>
      <c r="O1" s="2">
        <v>46217.0</v>
      </c>
      <c r="P1" s="2">
        <v>46218.0</v>
      </c>
      <c r="Q1" s="2">
        <v>46219.0</v>
      </c>
      <c r="R1" s="2">
        <v>46220.0</v>
      </c>
      <c r="S1" s="2">
        <v>46221.0</v>
      </c>
      <c r="T1" s="2">
        <v>46222.0</v>
      </c>
      <c r="U1" s="2">
        <v>46223.0</v>
      </c>
      <c r="V1" s="2">
        <v>46224.0</v>
      </c>
      <c r="W1" s="2">
        <v>46225.0</v>
      </c>
      <c r="X1" s="2">
        <v>46226.0</v>
      </c>
      <c r="Y1" s="2">
        <v>46227.0</v>
      </c>
      <c r="Z1" s="2">
        <v>46228.0</v>
      </c>
      <c r="AA1" s="2">
        <v>46229.0</v>
      </c>
      <c r="AB1" s="2">
        <v>46230.0</v>
      </c>
      <c r="AC1" s="2">
        <v>46231.0</v>
      </c>
      <c r="AD1" s="2">
        <v>46232.0</v>
      </c>
      <c r="AE1" s="2">
        <v>46233.0</v>
      </c>
      <c r="AF1" s="2">
        <v>46234.0</v>
      </c>
      <c r="AG1" s="4" t="s">
        <v>1</v>
      </c>
      <c r="AH1" s="4" t="s">
        <v>2</v>
      </c>
      <c r="AI1" s="4" t="s">
        <v>3</v>
      </c>
    </row>
    <row r="2" ht="23.25" customHeight="1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5</v>
      </c>
      <c r="Q2" s="7" t="s">
        <v>6</v>
      </c>
      <c r="R2" s="7" t="s">
        <v>7</v>
      </c>
      <c r="S2" s="7" t="s">
        <v>8</v>
      </c>
      <c r="T2" s="7" t="s">
        <v>9</v>
      </c>
      <c r="U2" s="7" t="s">
        <v>10</v>
      </c>
      <c r="V2" s="7" t="s">
        <v>11</v>
      </c>
      <c r="W2" s="7" t="s">
        <v>5</v>
      </c>
      <c r="X2" s="7" t="s">
        <v>6</v>
      </c>
      <c r="Y2" s="7" t="s">
        <v>7</v>
      </c>
      <c r="Z2" s="7" t="s">
        <v>8</v>
      </c>
      <c r="AA2" s="7" t="s">
        <v>9</v>
      </c>
      <c r="AB2" s="7" t="s">
        <v>10</v>
      </c>
      <c r="AC2" s="7" t="s">
        <v>11</v>
      </c>
      <c r="AD2" s="7" t="s">
        <v>5</v>
      </c>
      <c r="AE2" s="7" t="s">
        <v>6</v>
      </c>
      <c r="AF2" s="7" t="s">
        <v>7</v>
      </c>
      <c r="AG2" s="9"/>
      <c r="AH2" s="10"/>
      <c r="AI2" s="10"/>
    </row>
    <row r="3" ht="33.0" customHeight="1">
      <c r="A3" s="31" t="s">
        <v>15</v>
      </c>
      <c r="B3" s="121"/>
      <c r="C3" s="121"/>
      <c r="D3" s="32" t="s">
        <v>16</v>
      </c>
      <c r="E3" s="45"/>
      <c r="F3" s="32" t="s">
        <v>16</v>
      </c>
      <c r="G3" s="39"/>
      <c r="H3" s="45"/>
      <c r="I3" s="45"/>
      <c r="J3" s="32" t="s">
        <v>16</v>
      </c>
      <c r="K3" s="121"/>
      <c r="L3" s="32" t="s">
        <v>16</v>
      </c>
      <c r="M3" s="32" t="s">
        <v>16</v>
      </c>
      <c r="N3" s="121"/>
      <c r="O3" s="121"/>
      <c r="P3" s="32" t="s">
        <v>16</v>
      </c>
      <c r="Q3" s="32" t="s">
        <v>16</v>
      </c>
      <c r="R3" s="121"/>
      <c r="S3" s="121"/>
      <c r="T3" s="32" t="s">
        <v>16</v>
      </c>
      <c r="U3" s="32" t="s">
        <v>16</v>
      </c>
      <c r="V3" s="121"/>
      <c r="W3" s="13"/>
      <c r="X3" s="32" t="s">
        <v>16</v>
      </c>
      <c r="Y3" s="121"/>
      <c r="Z3" s="32" t="s">
        <v>16</v>
      </c>
      <c r="AA3" s="32" t="s">
        <v>16</v>
      </c>
      <c r="AB3" s="32" t="s">
        <v>16</v>
      </c>
      <c r="AC3" s="13"/>
      <c r="AD3" s="13"/>
      <c r="AE3" s="32" t="s">
        <v>16</v>
      </c>
      <c r="AF3" s="32" t="s">
        <v>16</v>
      </c>
      <c r="AG3" s="34"/>
      <c r="AH3" s="34"/>
      <c r="AI3" s="34"/>
    </row>
    <row r="4" ht="13.5" customHeight="1">
      <c r="A4" s="21" t="s">
        <v>38</v>
      </c>
      <c r="B4" s="122"/>
      <c r="C4" s="122"/>
      <c r="D4" s="36">
        <v>13.0</v>
      </c>
      <c r="E4" s="52"/>
      <c r="F4" s="36">
        <v>13.0</v>
      </c>
      <c r="G4" s="42"/>
      <c r="H4" s="52"/>
      <c r="I4" s="52"/>
      <c r="J4" s="36">
        <v>13.0</v>
      </c>
      <c r="K4" s="122"/>
      <c r="L4" s="36">
        <v>13.0</v>
      </c>
      <c r="M4" s="36">
        <v>13.0</v>
      </c>
      <c r="N4" s="122"/>
      <c r="O4" s="122"/>
      <c r="P4" s="36">
        <v>13.0</v>
      </c>
      <c r="Q4" s="36">
        <v>13.0</v>
      </c>
      <c r="R4" s="122"/>
      <c r="S4" s="122"/>
      <c r="T4" s="36">
        <v>13.0</v>
      </c>
      <c r="U4" s="36">
        <v>13.0</v>
      </c>
      <c r="V4" s="122"/>
      <c r="W4" s="22"/>
      <c r="X4" s="36">
        <v>13.0</v>
      </c>
      <c r="Y4" s="122"/>
      <c r="Z4" s="36">
        <v>13.0</v>
      </c>
      <c r="AA4" s="36">
        <v>13.0</v>
      </c>
      <c r="AB4" s="36">
        <v>13.0</v>
      </c>
      <c r="AC4" s="22"/>
      <c r="AD4" s="22"/>
      <c r="AE4" s="36">
        <v>13.0</v>
      </c>
      <c r="AF4" s="36">
        <v>13.0</v>
      </c>
      <c r="AG4" s="28">
        <f>SUM(B4:AE4) + AG14</f>
        <v>198</v>
      </c>
      <c r="AH4" s="29">
        <v>300.0</v>
      </c>
      <c r="AI4" s="28">
        <f>PRODUCT(AG4,AH4)</f>
        <v>59400</v>
      </c>
    </row>
    <row r="5" ht="32.25" customHeight="1">
      <c r="A5" s="31" t="s">
        <v>17</v>
      </c>
      <c r="B5" s="32" t="s">
        <v>16</v>
      </c>
      <c r="C5" s="32" t="s">
        <v>16</v>
      </c>
      <c r="D5" s="121"/>
      <c r="E5" s="15" t="s">
        <v>14</v>
      </c>
      <c r="F5" s="32" t="s">
        <v>16</v>
      </c>
      <c r="G5" s="32" t="s">
        <v>16</v>
      </c>
      <c r="H5" s="121"/>
      <c r="I5" s="121"/>
      <c r="J5" s="32" t="s">
        <v>16</v>
      </c>
      <c r="K5" s="32" t="s">
        <v>16</v>
      </c>
      <c r="L5" s="121"/>
      <c r="M5" s="121"/>
      <c r="N5" s="32" t="s">
        <v>16</v>
      </c>
      <c r="O5" s="32" t="s">
        <v>16</v>
      </c>
      <c r="P5" s="121"/>
      <c r="Q5" s="121"/>
      <c r="R5" s="32" t="s">
        <v>16</v>
      </c>
      <c r="S5" s="32" t="s">
        <v>16</v>
      </c>
      <c r="T5" s="121"/>
      <c r="U5" s="121"/>
      <c r="V5" s="32" t="s">
        <v>16</v>
      </c>
      <c r="W5" s="32" t="s">
        <v>16</v>
      </c>
      <c r="X5" s="39"/>
      <c r="Y5" s="39"/>
      <c r="Z5" s="39"/>
      <c r="AA5" s="45"/>
      <c r="AB5" s="39"/>
      <c r="AC5" s="39"/>
      <c r="AD5" s="39"/>
      <c r="AE5" s="32" t="s">
        <v>16</v>
      </c>
      <c r="AF5" s="121"/>
      <c r="AG5" s="34"/>
      <c r="AH5" s="34"/>
      <c r="AI5" s="34"/>
    </row>
    <row r="6" ht="12.0" customHeight="1">
      <c r="A6" s="21" t="s">
        <v>38</v>
      </c>
      <c r="B6" s="36">
        <v>13.0</v>
      </c>
      <c r="C6" s="36">
        <v>13.0</v>
      </c>
      <c r="D6" s="122"/>
      <c r="E6" s="24">
        <v>8.0</v>
      </c>
      <c r="F6" s="36">
        <v>13.0</v>
      </c>
      <c r="G6" s="36">
        <v>13.0</v>
      </c>
      <c r="H6" s="122"/>
      <c r="I6" s="122"/>
      <c r="J6" s="36">
        <v>13.0</v>
      </c>
      <c r="K6" s="36">
        <v>13.0</v>
      </c>
      <c r="L6" s="122"/>
      <c r="M6" s="122"/>
      <c r="N6" s="36">
        <v>13.0</v>
      </c>
      <c r="O6" s="36">
        <v>13.0</v>
      </c>
      <c r="P6" s="122"/>
      <c r="Q6" s="122"/>
      <c r="R6" s="36">
        <v>13.0</v>
      </c>
      <c r="S6" s="36">
        <v>13.0</v>
      </c>
      <c r="T6" s="122"/>
      <c r="U6" s="122"/>
      <c r="V6" s="36">
        <v>13.0</v>
      </c>
      <c r="W6" s="36">
        <v>13.0</v>
      </c>
      <c r="X6" s="42"/>
      <c r="Y6" s="42"/>
      <c r="Z6" s="42"/>
      <c r="AA6" s="52"/>
      <c r="AB6" s="42"/>
      <c r="AC6" s="42"/>
      <c r="AD6" s="42"/>
      <c r="AE6" s="36">
        <v>13.0</v>
      </c>
      <c r="AF6" s="122"/>
      <c r="AG6" s="28">
        <f>SUM(B6:AE6) + AG14</f>
        <v>193</v>
      </c>
      <c r="AH6" s="29">
        <v>300.0</v>
      </c>
      <c r="AI6" s="28">
        <f>PRODUCT(AG6,AH6)</f>
        <v>57900</v>
      </c>
    </row>
    <row r="7" ht="32.25" customHeight="1">
      <c r="A7" s="31" t="s">
        <v>21</v>
      </c>
      <c r="B7" s="121"/>
      <c r="C7" s="39"/>
      <c r="D7" s="45"/>
      <c r="E7" s="32" t="s">
        <v>16</v>
      </c>
      <c r="F7" s="13"/>
      <c r="G7" s="121"/>
      <c r="H7" s="32" t="s">
        <v>16</v>
      </c>
      <c r="I7" s="32" t="s">
        <v>16</v>
      </c>
      <c r="J7" s="121"/>
      <c r="K7" s="13"/>
      <c r="L7" s="22"/>
      <c r="M7" s="32" t="s">
        <v>16</v>
      </c>
      <c r="N7" s="32" t="s">
        <v>16</v>
      </c>
      <c r="O7" s="121"/>
      <c r="P7" s="121"/>
      <c r="Q7" s="32" t="s">
        <v>16</v>
      </c>
      <c r="R7" s="32" t="s">
        <v>16</v>
      </c>
      <c r="S7" s="121"/>
      <c r="T7" s="13"/>
      <c r="U7" s="32" t="s">
        <v>16</v>
      </c>
      <c r="V7" s="32" t="s">
        <v>16</v>
      </c>
      <c r="W7" s="121"/>
      <c r="X7" s="121"/>
      <c r="Y7" s="32" t="s">
        <v>16</v>
      </c>
      <c r="Z7" s="32" t="s">
        <v>16</v>
      </c>
      <c r="AA7" s="32" t="s">
        <v>16</v>
      </c>
      <c r="AB7" s="13"/>
      <c r="AC7" s="32" t="s">
        <v>16</v>
      </c>
      <c r="AD7" s="32" t="s">
        <v>16</v>
      </c>
      <c r="AE7" s="121"/>
      <c r="AF7" s="32" t="s">
        <v>16</v>
      </c>
      <c r="AG7" s="47"/>
      <c r="AH7" s="47"/>
      <c r="AI7" s="47"/>
    </row>
    <row r="8" ht="12.75" customHeight="1">
      <c r="A8" s="21" t="s">
        <v>38</v>
      </c>
      <c r="B8" s="122"/>
      <c r="C8" s="42"/>
      <c r="D8" s="52"/>
      <c r="E8" s="36">
        <v>13.0</v>
      </c>
      <c r="F8" s="22"/>
      <c r="G8" s="122"/>
      <c r="H8" s="36">
        <v>13.0</v>
      </c>
      <c r="I8" s="36">
        <v>13.0</v>
      </c>
      <c r="J8" s="122"/>
      <c r="K8" s="22"/>
      <c r="L8" s="22"/>
      <c r="M8" s="36">
        <v>13.0</v>
      </c>
      <c r="N8" s="36">
        <v>13.0</v>
      </c>
      <c r="O8" s="122"/>
      <c r="P8" s="122"/>
      <c r="Q8" s="36">
        <v>13.0</v>
      </c>
      <c r="R8" s="36">
        <v>13.0</v>
      </c>
      <c r="S8" s="122"/>
      <c r="T8" s="22"/>
      <c r="U8" s="36">
        <v>13.0</v>
      </c>
      <c r="V8" s="36">
        <v>13.0</v>
      </c>
      <c r="W8" s="122"/>
      <c r="X8" s="122"/>
      <c r="Y8" s="36">
        <v>13.0</v>
      </c>
      <c r="Z8" s="36">
        <v>13.0</v>
      </c>
      <c r="AA8" s="36">
        <v>13.0</v>
      </c>
      <c r="AB8" s="22"/>
      <c r="AC8" s="36">
        <v>13.0</v>
      </c>
      <c r="AD8" s="36">
        <v>13.0</v>
      </c>
      <c r="AE8" s="122"/>
      <c r="AF8" s="36">
        <v>13.0</v>
      </c>
      <c r="AG8" s="28">
        <f>SUM(B8:AE8) + AG14</f>
        <v>198</v>
      </c>
      <c r="AH8" s="29">
        <v>300.0</v>
      </c>
      <c r="AI8" s="28">
        <f>PRODUCT(AG8,AH8)</f>
        <v>59400</v>
      </c>
    </row>
    <row r="9" ht="34.5" customHeight="1">
      <c r="A9" s="66" t="s">
        <v>36</v>
      </c>
      <c r="B9" s="32" t="s">
        <v>16</v>
      </c>
      <c r="C9" s="32" t="s">
        <v>16</v>
      </c>
      <c r="D9" s="32" t="s">
        <v>16</v>
      </c>
      <c r="E9" s="139"/>
      <c r="F9" s="121"/>
      <c r="G9" s="32" t="s">
        <v>16</v>
      </c>
      <c r="H9" s="32" t="s">
        <v>16</v>
      </c>
      <c r="I9" s="13"/>
      <c r="J9" s="13"/>
      <c r="K9" s="32" t="s">
        <v>16</v>
      </c>
      <c r="L9" s="32" t="s">
        <v>16</v>
      </c>
      <c r="M9" s="13"/>
      <c r="N9" s="13"/>
      <c r="O9" s="32" t="s">
        <v>16</v>
      </c>
      <c r="P9" s="32" t="s">
        <v>16</v>
      </c>
      <c r="Q9" s="121"/>
      <c r="R9" s="13"/>
      <c r="S9" s="32" t="s">
        <v>16</v>
      </c>
      <c r="T9" s="32" t="s">
        <v>16</v>
      </c>
      <c r="U9" s="22"/>
      <c r="V9" s="121"/>
      <c r="W9" s="32" t="s">
        <v>16</v>
      </c>
      <c r="X9" s="32" t="s">
        <v>16</v>
      </c>
      <c r="Y9" s="32" t="s">
        <v>16</v>
      </c>
      <c r="Z9" s="13"/>
      <c r="AA9" s="13"/>
      <c r="AB9" s="13"/>
      <c r="AC9" s="32" t="s">
        <v>16</v>
      </c>
      <c r="AD9" s="32" t="s">
        <v>16</v>
      </c>
      <c r="AE9" s="121"/>
      <c r="AF9" s="121"/>
      <c r="AG9" s="47"/>
      <c r="AH9" s="47"/>
      <c r="AI9" s="47"/>
    </row>
    <row r="10" ht="14.25" customHeight="1">
      <c r="A10" s="21" t="s">
        <v>38</v>
      </c>
      <c r="B10" s="36">
        <v>13.0</v>
      </c>
      <c r="C10" s="36">
        <v>13.0</v>
      </c>
      <c r="D10" s="36">
        <v>13.0</v>
      </c>
      <c r="E10" s="122"/>
      <c r="F10" s="122"/>
      <c r="G10" s="36">
        <v>13.0</v>
      </c>
      <c r="H10" s="36">
        <v>13.0</v>
      </c>
      <c r="I10" s="22"/>
      <c r="J10" s="53"/>
      <c r="K10" s="36">
        <v>13.0</v>
      </c>
      <c r="L10" s="36">
        <v>13.0</v>
      </c>
      <c r="M10" s="22"/>
      <c r="N10" s="22"/>
      <c r="O10" s="36">
        <v>13.0</v>
      </c>
      <c r="P10" s="36">
        <v>13.0</v>
      </c>
      <c r="Q10" s="122"/>
      <c r="R10" s="22"/>
      <c r="S10" s="36">
        <v>13.0</v>
      </c>
      <c r="T10" s="36">
        <v>13.0</v>
      </c>
      <c r="U10" s="22"/>
      <c r="V10" s="122"/>
      <c r="W10" s="36">
        <v>13.0</v>
      </c>
      <c r="X10" s="36">
        <v>13.0</v>
      </c>
      <c r="Y10" s="36">
        <v>13.0</v>
      </c>
      <c r="Z10" s="22"/>
      <c r="AA10" s="22"/>
      <c r="AB10" s="22"/>
      <c r="AC10" s="36">
        <v>13.0</v>
      </c>
      <c r="AD10" s="36">
        <v>13.0</v>
      </c>
      <c r="AE10" s="122"/>
      <c r="AF10" s="122"/>
      <c r="AG10" s="28">
        <f>SUM(B10:AE10) + AG14</f>
        <v>224</v>
      </c>
      <c r="AH10" s="29">
        <v>300.0</v>
      </c>
      <c r="AI10" s="28">
        <f>PRODUCT(AG10,AH10)</f>
        <v>67200</v>
      </c>
    </row>
    <row r="11" ht="37.5" customHeight="1">
      <c r="A11" s="66" t="s">
        <v>39</v>
      </c>
      <c r="B11" s="140"/>
      <c r="C11" s="141"/>
      <c r="D11" s="142"/>
      <c r="E11" s="54"/>
      <c r="F11" s="22"/>
      <c r="G11" s="70"/>
      <c r="H11" s="55"/>
      <c r="I11" s="136"/>
      <c r="J11" s="136"/>
      <c r="K11" s="22"/>
      <c r="L11" s="121"/>
      <c r="M11" s="121"/>
      <c r="N11" s="13"/>
      <c r="O11" s="13"/>
      <c r="P11" s="121"/>
      <c r="Q11" s="121"/>
      <c r="R11" s="13"/>
      <c r="S11" s="13"/>
      <c r="T11" s="121"/>
      <c r="U11" s="121"/>
      <c r="V11" s="13"/>
      <c r="W11" s="13"/>
      <c r="X11" s="121"/>
      <c r="Y11" s="121"/>
      <c r="Z11" s="13"/>
      <c r="AA11" s="71"/>
      <c r="AB11" s="121"/>
      <c r="AC11" s="121"/>
      <c r="AD11" s="13"/>
      <c r="AE11" s="13"/>
      <c r="AF11" s="16"/>
      <c r="AG11" s="72"/>
      <c r="AH11" s="29"/>
      <c r="AI11" s="28"/>
    </row>
    <row r="12" ht="14.25" customHeight="1">
      <c r="A12" s="21" t="s">
        <v>38</v>
      </c>
      <c r="B12" s="22"/>
      <c r="C12" s="141"/>
      <c r="D12" s="143"/>
      <c r="E12" s="54"/>
      <c r="F12" s="22"/>
      <c r="G12" s="70"/>
      <c r="H12" s="55"/>
      <c r="I12" s="136"/>
      <c r="J12" s="136"/>
      <c r="K12" s="22"/>
      <c r="L12" s="122"/>
      <c r="M12" s="122"/>
      <c r="N12" s="22"/>
      <c r="O12" s="22"/>
      <c r="P12" s="122"/>
      <c r="Q12" s="122"/>
      <c r="R12" s="22"/>
      <c r="S12" s="22"/>
      <c r="T12" s="122"/>
      <c r="U12" s="122"/>
      <c r="V12" s="53"/>
      <c r="W12" s="22"/>
      <c r="X12" s="122"/>
      <c r="Y12" s="122"/>
      <c r="Z12" s="22"/>
      <c r="AA12" s="71"/>
      <c r="AB12" s="122"/>
      <c r="AC12" s="122"/>
      <c r="AD12" s="53"/>
      <c r="AE12" s="22"/>
      <c r="AF12" s="53"/>
      <c r="AG12" s="28">
        <f>SUM(B12:AE12) + AG16</f>
        <v>0</v>
      </c>
      <c r="AH12" s="29">
        <v>150.0</v>
      </c>
      <c r="AI12" s="28">
        <f>PRODUCT(AG12,AH12)</f>
        <v>0</v>
      </c>
    </row>
    <row r="13" ht="23.25" customHeight="1">
      <c r="A13" s="74"/>
      <c r="B13" s="75"/>
      <c r="C13" s="77"/>
      <c r="D13" s="77"/>
      <c r="E13" s="138"/>
      <c r="F13" s="78"/>
      <c r="G13" s="79"/>
      <c r="H13" s="133"/>
      <c r="I13" s="75"/>
      <c r="J13" s="137" t="s">
        <v>37</v>
      </c>
      <c r="K13" s="81"/>
      <c r="L13" s="138"/>
      <c r="M13" s="83"/>
      <c r="N13" s="83"/>
      <c r="O13" s="133"/>
      <c r="P13" s="75"/>
      <c r="Q13" s="84"/>
      <c r="R13" s="84"/>
      <c r="S13" s="84"/>
      <c r="T13" s="82"/>
      <c r="U13" s="82"/>
      <c r="V13" s="138"/>
      <c r="W13" s="75"/>
      <c r="X13" s="137" t="s">
        <v>37</v>
      </c>
      <c r="Y13" s="81"/>
      <c r="Z13" s="138"/>
      <c r="AA13" s="82"/>
      <c r="AB13" s="81"/>
      <c r="AC13" s="133"/>
      <c r="AD13" s="82"/>
      <c r="AE13" s="133"/>
      <c r="AF13" s="87"/>
      <c r="AG13" s="88" t="s">
        <v>22</v>
      </c>
      <c r="AH13" s="20"/>
      <c r="AI13" s="20"/>
    </row>
    <row r="14" ht="9.75" customHeight="1">
      <c r="A14" s="74"/>
      <c r="B14" s="89"/>
      <c r="D14" s="90"/>
      <c r="F14" s="91"/>
      <c r="I14" s="89"/>
      <c r="K14" s="20"/>
      <c r="L14" s="20"/>
      <c r="M14" s="92"/>
      <c r="N14" s="92"/>
      <c r="O14" s="92"/>
      <c r="P14" s="89"/>
      <c r="Q14" s="92"/>
      <c r="R14" s="20"/>
      <c r="S14" s="20"/>
      <c r="T14" s="93"/>
      <c r="U14" s="93"/>
      <c r="V14" s="93"/>
      <c r="W14" s="89"/>
      <c r="X14" s="94"/>
      <c r="Y14" s="20"/>
      <c r="Z14" s="94"/>
      <c r="AA14" s="20"/>
      <c r="AB14" s="20"/>
      <c r="AC14" s="20"/>
      <c r="AD14" s="20"/>
      <c r="AE14" s="20"/>
      <c r="AF14" s="95"/>
      <c r="AG14" s="96">
        <v>16.0</v>
      </c>
      <c r="AH14" s="20"/>
      <c r="AI14" s="20"/>
    </row>
    <row r="15">
      <c r="A15" s="97"/>
      <c r="F15" s="91"/>
      <c r="H15" s="133"/>
      <c r="K15" s="94"/>
      <c r="M15" s="92"/>
      <c r="N15" s="92"/>
      <c r="O15" s="92"/>
      <c r="P15" s="92"/>
      <c r="Q15" s="92"/>
      <c r="R15" s="20"/>
      <c r="S15" s="20"/>
      <c r="T15" s="93"/>
      <c r="U15" s="93"/>
      <c r="V15" s="133"/>
      <c r="W15" s="94"/>
      <c r="X15" s="94"/>
      <c r="Y15" s="20"/>
      <c r="Z15" s="20"/>
      <c r="AA15" s="20"/>
      <c r="AB15" s="94"/>
      <c r="AC15" s="98"/>
      <c r="AD15" s="98"/>
      <c r="AE15" s="98"/>
      <c r="AF15" s="98"/>
      <c r="AG15" s="20"/>
      <c r="AH15" s="20"/>
      <c r="AI15" s="20"/>
    </row>
    <row r="16">
      <c r="A16" s="97"/>
      <c r="C16" s="99" t="s">
        <v>23</v>
      </c>
      <c r="D16" s="100"/>
      <c r="E16" s="101"/>
      <c r="F16" s="91"/>
      <c r="K16" s="20"/>
      <c r="L16" s="20"/>
      <c r="M16" s="92"/>
      <c r="N16" s="92"/>
      <c r="O16" s="92"/>
      <c r="P16" s="92"/>
      <c r="Q16" s="92"/>
      <c r="R16" s="20"/>
      <c r="S16" s="20"/>
      <c r="T16" s="93"/>
      <c r="U16" s="93"/>
      <c r="V16" s="93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</row>
    <row r="17">
      <c r="A17" s="97"/>
      <c r="C17" s="102"/>
      <c r="D17" s="103"/>
      <c r="E17" s="104"/>
      <c r="F17" s="91"/>
      <c r="K17" s="20"/>
      <c r="L17" s="20"/>
      <c r="M17" s="92"/>
      <c r="N17" s="92"/>
      <c r="O17" s="92"/>
      <c r="P17" s="92"/>
      <c r="Q17" s="92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</row>
    <row r="18">
      <c r="A18" s="105"/>
      <c r="B18" s="91"/>
      <c r="C18" s="106" t="s">
        <v>24</v>
      </c>
      <c r="D18" s="100"/>
      <c r="E18" s="101"/>
      <c r="F18" s="107"/>
      <c r="G18" s="134"/>
      <c r="H18" s="134"/>
      <c r="I18" s="134"/>
      <c r="J18" s="134"/>
      <c r="K18" s="20"/>
      <c r="L18" s="20"/>
      <c r="M18" s="92"/>
      <c r="N18" s="92"/>
      <c r="O18" s="92"/>
      <c r="P18" s="92"/>
      <c r="Q18" s="92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</row>
    <row r="19">
      <c r="A19" s="105"/>
      <c r="B19" s="91"/>
      <c r="C19" s="102"/>
      <c r="D19" s="103"/>
      <c r="E19" s="104"/>
      <c r="F19" s="107"/>
      <c r="G19" s="134"/>
      <c r="H19" s="134"/>
      <c r="I19" s="134"/>
      <c r="J19" s="134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>
      <c r="A20" s="105"/>
      <c r="B20" s="91"/>
      <c r="C20" s="111" t="s">
        <v>25</v>
      </c>
      <c r="D20" s="100"/>
      <c r="E20" s="101"/>
      <c r="F20" s="20"/>
      <c r="G20" s="134"/>
      <c r="H20" s="134"/>
      <c r="I20" s="134"/>
      <c r="J20" s="134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94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>
      <c r="A21" s="105"/>
      <c r="B21" s="91"/>
      <c r="C21" s="102"/>
      <c r="D21" s="103"/>
      <c r="E21" s="104"/>
      <c r="F21" s="20"/>
      <c r="G21" s="134"/>
      <c r="H21" s="134"/>
      <c r="I21" s="134"/>
      <c r="J21" s="134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</row>
    <row r="22">
      <c r="A22" s="105"/>
      <c r="C22" s="112" t="s">
        <v>26</v>
      </c>
      <c r="D22" s="100"/>
      <c r="E22" s="101"/>
      <c r="F22" s="20"/>
      <c r="G22" s="134"/>
      <c r="H22" s="134"/>
      <c r="I22" s="134"/>
      <c r="J22" s="134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>
      <c r="A23" s="105"/>
      <c r="B23" s="20"/>
      <c r="C23" s="102"/>
      <c r="D23" s="103"/>
      <c r="E23" s="104"/>
      <c r="F23" s="20"/>
      <c r="G23" s="113" t="s">
        <v>27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</row>
    <row r="24">
      <c r="A24" s="105"/>
      <c r="B24" s="20"/>
      <c r="C24" s="114" t="s">
        <v>28</v>
      </c>
      <c r="D24" s="100"/>
      <c r="E24" s="101"/>
      <c r="F24" s="20"/>
      <c r="G24" s="20"/>
      <c r="H24" s="74"/>
      <c r="I24" s="74"/>
      <c r="J24" s="74"/>
      <c r="K24" s="74"/>
      <c r="L24" s="74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>
      <c r="A25" s="105"/>
      <c r="B25" s="20"/>
      <c r="C25" s="102"/>
      <c r="D25" s="103"/>
      <c r="E25" s="104"/>
      <c r="F25" s="20"/>
      <c r="G25" s="20"/>
      <c r="H25" s="74"/>
      <c r="I25" s="74"/>
      <c r="J25" s="74"/>
      <c r="K25" s="74"/>
      <c r="L25" s="74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</row>
    <row r="26">
      <c r="A26" s="105"/>
      <c r="B26" s="20"/>
      <c r="C26" s="20"/>
      <c r="D26" s="20"/>
      <c r="E26" s="20"/>
      <c r="F26" s="20"/>
      <c r="G26" s="20"/>
      <c r="H26" s="74"/>
      <c r="I26" s="74"/>
      <c r="J26" s="74"/>
      <c r="K26" s="74"/>
      <c r="L26" s="74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</row>
    <row r="27">
      <c r="A27" s="105"/>
      <c r="B27" s="20"/>
      <c r="C27" s="20"/>
      <c r="D27" s="20"/>
      <c r="E27" s="20"/>
      <c r="F27" s="20"/>
      <c r="G27" s="20"/>
      <c r="H27" s="74"/>
      <c r="I27" s="74"/>
      <c r="J27" s="74"/>
      <c r="K27" s="74"/>
      <c r="L27" s="74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</row>
  </sheetData>
  <mergeCells count="5">
    <mergeCell ref="C16:E17"/>
    <mergeCell ref="C18:E19"/>
    <mergeCell ref="C20:E21"/>
    <mergeCell ref="C22:E23"/>
    <mergeCell ref="C24:E25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